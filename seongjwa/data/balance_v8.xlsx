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설정값" sheetId="1" state="visible" r:id="rId3"/>
    <sheet name="시간예산" sheetId="2" state="visible" r:id="rId4"/>
    <sheet name="캐릭터" sheetId="3" state="visible" r:id="rId5"/>
    <sheet name="전투카드" sheetId="4" state="visible" r:id="rId6"/>
    <sheet name="스펠" sheetId="5" state="visible" r:id="rId7"/>
    <sheet name="피해계산기" sheetId="6" state="visible" r:id="rId8"/>
    <sheet name="랭크_승점" sheetId="7" state="visible" r:id="rId9"/>
    <sheet name="랭크보상" sheetId="8" state="visible" r:id="rId10"/>
    <sheet name="이탈패널티" sheetId="9" state="visible" r:id="rId11"/>
    <sheet name="에셋" sheetId="10" state="visible" r:id="rId12"/>
    <sheet name="경제" sheetId="11" state="visible" r:id="rId13"/>
    <sheet name="추천덱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F3" authorId="0">
      <text>
        <r>
          <rPr>
            <sz val="10"/>
            <rFont val="Arial"/>
            <family val="2"/>
          </rPr>
          <t xml:space="preserve">HP </t>
        </r>
        <r>
          <rPr>
            <sz val="10"/>
            <rFont val="Noto Sans CJK SC"/>
            <family val="2"/>
          </rPr>
          <t xml:space="preserve">가중치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가정</t>
        </r>
        <r>
          <rPr>
            <sz val="10"/>
            <rFont val="Arial"/>
            <family val="2"/>
          </rPr>
          <t xml:space="preserve">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3</xdr:col>
                <xdr:colOff>23</xdr:colOff>
                <xdr:row>3</xdr:row>
                <xdr:rowOff>18</xdr:rowOff>
              </xdr:to>
            </anchor>
          </commentPr>
        </mc:Choice>
        <mc:Fallback/>
      </mc:AlternateContent>
    </comment>
    <comment ref="G3" authorId="0">
      <text>
        <r>
          <rPr>
            <sz val="10"/>
            <rFont val="Arial"/>
            <family val="2"/>
          </rPr>
          <t xml:space="preserve">ATK </t>
        </r>
        <r>
          <rPr>
            <sz val="10"/>
            <rFont val="Noto Sans CJK SC"/>
            <family val="2"/>
          </rPr>
          <t xml:space="preserve">가중치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가정</t>
        </r>
        <r>
          <rPr>
            <sz val="10"/>
            <rFont val="Arial"/>
            <family val="2"/>
          </rPr>
          <t xml:space="preserve">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3</xdr:col>
                <xdr:colOff>23</xdr:colOff>
                <xdr:row>3</xdr:row>
                <xdr:rowOff>18</xdr:rowOff>
              </xdr:to>
            </anchor>
          </commentPr>
        </mc:Choice>
        <mc:Fallback/>
      </mc:AlternateContent>
    </comment>
    <comment ref="H3" authorId="0">
      <text>
        <r>
          <rPr>
            <sz val="10"/>
            <rFont val="Arial"/>
            <family val="2"/>
          </rPr>
          <t xml:space="preserve">DEF </t>
        </r>
        <r>
          <rPr>
            <sz val="10"/>
            <rFont val="Noto Sans CJK SC"/>
            <family val="2"/>
          </rPr>
          <t xml:space="preserve">가중치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가정</t>
        </r>
        <r>
          <rPr>
            <sz val="10"/>
            <rFont val="Arial"/>
            <family val="2"/>
          </rPr>
          <t xml:space="preserve">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3</xdr:col>
                <xdr:colOff>23</xdr:colOff>
                <xdr:row>3</xdr:row>
                <xdr:rowOff>18</xdr:rowOff>
              </xdr:to>
            </anchor>
          </commentPr>
        </mc:Choice>
        <mc:Fallback/>
      </mc:AlternateContent>
    </comment>
    <comment ref="I3" authorId="0">
      <text>
        <r>
          <rPr>
            <sz val="10"/>
            <rFont val="Arial"/>
            <family val="2"/>
          </rPr>
          <t xml:space="preserve">SPD </t>
        </r>
        <r>
          <rPr>
            <sz val="10"/>
            <rFont val="Noto Sans CJK SC"/>
            <family val="2"/>
          </rPr>
          <t xml:space="preserve">가중치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가정</t>
        </r>
        <r>
          <rPr>
            <sz val="10"/>
            <rFont val="Arial"/>
            <family val="2"/>
          </rPr>
          <t xml:space="preserve">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3</xdr:col>
                <xdr:colOff>23</xdr:colOff>
                <xdr:row>3</xdr:row>
                <xdr:rowOff>18</xdr:rowOff>
              </xdr:to>
            </anchor>
          </commentPr>
        </mc:Choice>
        <mc:Fallback/>
      </mc:AlternateContent>
    </comment>
    <comment ref="J3" authorId="0">
      <text>
        <r>
          <rPr>
            <sz val="10"/>
            <rFont val="Arial"/>
            <family val="2"/>
          </rPr>
          <t xml:space="preserve">CRIT(%) </t>
        </r>
        <r>
          <rPr>
            <sz val="10"/>
            <rFont val="Noto Sans CJK SC"/>
            <family val="2"/>
          </rPr>
          <t xml:space="preserve">가중치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가정</t>
        </r>
        <r>
          <rPr>
            <sz val="10"/>
            <rFont val="Arial"/>
            <family val="2"/>
          </rPr>
          <t xml:space="preserve">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3</xdr:col>
                <xdr:colOff>23</xdr:colOff>
                <xdr:row>3</xdr:row>
                <xdr:rowOff>18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<sst xmlns="http://schemas.openxmlformats.org/spreadsheetml/2006/main" count="1092" uniqueCount="778">
  <si>
    <t xml:space="preserve">설정값 (전체 시트가 참조하는 조정 레버)</t>
  </si>
  <si>
    <t xml:space="preserve">파란 글씨 = 직접 바꾸는 입력값, 검은 글씨 = 수식, 노란 칸 = 요청사항의 NN 값. 모든 수치는 기획 초안 가정값(출처: 기획안 v0.1).</t>
  </si>
  <si>
    <t xml:space="preserve">항목</t>
  </si>
  <si>
    <t xml:space="preserve">값</t>
  </si>
  <si>
    <t xml:space="preserve">단위</t>
  </si>
  <si>
    <t xml:space="preserve">설명</t>
  </si>
  <si>
    <t xml:space="preserve">키</t>
  </si>
  <si>
    <t xml:space="preserve">미매칭 AI 전환 대기 (NN초)</t>
  </si>
  <si>
    <t xml:space="preserve">초</t>
  </si>
  <si>
    <t xml:space="preserve">랭킹전 사람 탐색 후 AI 랭킹전으로 전환하는 시점</t>
  </si>
  <si>
    <t xml:space="preserve">ai_fallback_sec</t>
  </si>
  <si>
    <r>
      <rPr>
        <sz val="11"/>
        <rFont val="Arial"/>
        <family val="0"/>
        <charset val="1"/>
      </rPr>
      <t xml:space="preserve">AI </t>
    </r>
    <r>
      <rPr>
        <sz val="11"/>
        <rFont val="Noto Sans CJK SC"/>
        <family val="2"/>
      </rPr>
      <t xml:space="preserve">랭킹전 승점 감산율 </t>
    </r>
    <r>
      <rPr>
        <sz val="11"/>
        <rFont val="Arial"/>
        <family val="0"/>
        <charset val="1"/>
      </rPr>
      <t xml:space="preserve">(NN%)</t>
    </r>
  </si>
  <si>
    <t xml:space="preserve">%</t>
  </si>
  <si>
    <r>
      <rPr>
        <sz val="11"/>
        <rFont val="Arial"/>
        <family val="0"/>
        <charset val="1"/>
      </rPr>
      <t xml:space="preserve">AI</t>
    </r>
    <r>
      <rPr>
        <sz val="11"/>
        <rFont val="Noto Sans CJK SC"/>
        <family val="2"/>
      </rPr>
      <t xml:space="preserve">전 </t>
    </r>
    <r>
      <rPr>
        <sz val="11"/>
        <rFont val="Arial"/>
        <family val="0"/>
        <charset val="1"/>
      </rPr>
      <t xml:space="preserve">RP = </t>
    </r>
    <r>
      <rPr>
        <sz val="11"/>
        <rFont val="Noto Sans CJK SC"/>
        <family val="2"/>
      </rPr>
      <t xml:space="preserve">사람 대전 </t>
    </r>
    <r>
      <rPr>
        <sz val="11"/>
        <rFont val="Arial"/>
        <family val="0"/>
        <charset val="1"/>
      </rPr>
      <t xml:space="preserve">RP × (1 − </t>
    </r>
    <r>
      <rPr>
        <sz val="11"/>
        <rFont val="Noto Sans CJK SC"/>
        <family val="2"/>
      </rPr>
      <t xml:space="preserve">이 값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승리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패배 모두</t>
    </r>
  </si>
  <si>
    <t xml:space="preserve">ai_rp_penalty_pct</t>
  </si>
  <si>
    <r>
      <rPr>
        <sz val="11"/>
        <rFont val="Arial"/>
        <family val="0"/>
        <charset val="1"/>
      </rPr>
      <t xml:space="preserve">AI </t>
    </r>
    <r>
      <rPr>
        <sz val="11"/>
        <rFont val="Noto Sans CJK SC"/>
        <family val="2"/>
      </rPr>
      <t xml:space="preserve">랭킹전 하루 승점 반영 판수</t>
    </r>
  </si>
  <si>
    <t xml:space="preserve">판</t>
  </si>
  <si>
    <t xml:space="preserve">초과분은 판 보상만, RP 0</t>
  </si>
  <si>
    <t xml:space="preserve">ai_daily_rp_games</t>
  </si>
  <si>
    <r>
      <rPr>
        <sz val="11"/>
        <rFont val="Arial"/>
        <family val="0"/>
        <charset val="1"/>
      </rPr>
      <t xml:space="preserve">AI </t>
    </r>
    <r>
      <rPr>
        <sz val="11"/>
        <rFont val="Noto Sans CJK SC"/>
        <family val="2"/>
      </rPr>
      <t xml:space="preserve">대체 비활성 시작 티어 순번</t>
    </r>
  </si>
  <si>
    <t xml:space="preserve">단계 순번</t>
  </si>
  <si>
    <r>
      <rPr>
        <sz val="11"/>
        <rFont val="Arial"/>
        <family val="0"/>
        <charset val="1"/>
      </rPr>
      <t xml:space="preserve">13 = </t>
    </r>
    <r>
      <rPr>
        <sz val="11"/>
        <rFont val="Noto Sans CJK SC"/>
        <family val="2"/>
      </rPr>
      <t xml:space="preserve">다이아 </t>
    </r>
    <r>
      <rPr>
        <sz val="11"/>
        <rFont val="Arial"/>
        <family val="0"/>
        <charset val="1"/>
      </rPr>
      <t xml:space="preserve">III</t>
    </r>
    <r>
      <rPr>
        <sz val="11"/>
        <rFont val="Noto Sans CJK SC"/>
        <family val="2"/>
      </rPr>
      <t xml:space="preserve">부터 </t>
    </r>
    <r>
      <rPr>
        <sz val="11"/>
        <rFont val="Arial"/>
        <family val="0"/>
        <charset val="1"/>
      </rPr>
      <t xml:space="preserve">AI </t>
    </r>
    <r>
      <rPr>
        <sz val="11"/>
        <rFont val="Noto Sans CJK SC"/>
        <family val="2"/>
      </rPr>
      <t xml:space="preserve">대체 없음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랭크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승점 시트 순번</t>
    </r>
    <r>
      <rPr>
        <sz val="11"/>
        <rFont val="Arial"/>
        <family val="0"/>
        <charset val="1"/>
      </rPr>
      <t xml:space="preserve">)</t>
    </r>
  </si>
  <si>
    <t xml:space="preserve">ai_off_from_tier_no</t>
  </si>
  <si>
    <t xml:space="preserve">턴 선택 시간</t>
  </si>
  <si>
    <t xml:space="preserve">양측 확정 시 즉시 공개</t>
  </si>
  <si>
    <t xml:space="preserve">turn_select_sec</t>
  </si>
  <si>
    <t xml:space="preserve">타임뱅크 (판당 1회)</t>
  </si>
  <si>
    <t xml:space="preserve">timebank_sec</t>
  </si>
  <si>
    <t xml:space="preserve">최대 턴</t>
  </si>
  <si>
    <t xml:space="preserve">턴</t>
  </si>
  <si>
    <t xml:space="preserve">max_turn</t>
  </si>
  <si>
    <t xml:space="preserve">폭주 시작 턴</t>
  </si>
  <si>
    <t xml:space="preserve">rush_start_turn</t>
  </si>
  <si>
    <t xml:space="preserve">폭주 턴당 피해 증가</t>
  </si>
  <si>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턴 </t>
    </r>
    <r>
      <rPr>
        <sz val="11"/>
        <rFont val="Arial"/>
        <family val="0"/>
        <charset val="1"/>
      </rPr>
      <t xml:space="preserve">+25%, 8</t>
    </r>
    <r>
      <rPr>
        <sz val="11"/>
        <rFont val="Noto Sans CJK SC"/>
        <family val="2"/>
      </rPr>
      <t xml:space="preserve">턴 </t>
    </r>
    <r>
      <rPr>
        <sz val="11"/>
        <rFont val="Arial"/>
        <family val="0"/>
        <charset val="1"/>
      </rPr>
      <t xml:space="preserve">+50% ... </t>
    </r>
    <r>
      <rPr>
        <sz val="11"/>
        <rFont val="Noto Sans CJK SC"/>
        <family val="2"/>
      </rPr>
      <t xml:space="preserve">누적</t>
    </r>
  </si>
  <si>
    <t xml:space="preserve">rush_dmg_step</t>
  </si>
  <si>
    <t xml:space="preserve">폭주 중 회복 감소</t>
  </si>
  <si>
    <t xml:space="preserve">rush_heal_cut</t>
  </si>
  <si>
    <t xml:space="preserve">기본 승리 RP</t>
  </si>
  <si>
    <t xml:space="preserve">RP</t>
  </si>
  <si>
    <t xml:space="preserve">win_rp_base</t>
  </si>
  <si>
    <t xml:space="preserve">기본 패배 RP</t>
  </si>
  <si>
    <t xml:space="preserve">양수로 입력, 차감값</t>
  </si>
  <si>
    <t xml:space="preserve">loss_rp_base</t>
  </si>
  <si>
    <r>
      <rPr>
        <sz val="11"/>
        <rFont val="Arial"/>
        <family val="0"/>
        <charset val="1"/>
      </rPr>
      <t xml:space="preserve">MMR </t>
    </r>
    <r>
      <rPr>
        <sz val="11"/>
        <rFont val="Noto Sans CJK SC"/>
        <family val="2"/>
      </rPr>
      <t xml:space="preserve">보정 최대</t>
    </r>
  </si>
  <si>
    <r>
      <rPr>
        <sz val="11"/>
        <rFont val="Arial"/>
        <family val="0"/>
        <charset val="1"/>
      </rPr>
      <t xml:space="preserve">MMR</t>
    </r>
    <r>
      <rPr>
        <sz val="11"/>
        <rFont val="Noto Sans CJK SC"/>
        <family val="2"/>
      </rPr>
      <t xml:space="preserve">이 단계 기준보다 높으면 승리 </t>
    </r>
    <r>
      <rPr>
        <sz val="11"/>
        <rFont val="Arial"/>
        <family val="0"/>
        <charset val="1"/>
      </rPr>
      <t xml:space="preserve">+, </t>
    </r>
    <r>
      <rPr>
        <sz val="11"/>
        <rFont val="Noto Sans CJK SC"/>
        <family val="2"/>
      </rPr>
      <t xml:space="preserve">패배 −</t>
    </r>
  </si>
  <si>
    <t xml:space="preserve">mmr_adj_max</t>
  </si>
  <si>
    <r>
      <rPr>
        <sz val="11"/>
        <rFont val="Arial"/>
        <family val="0"/>
        <charset val="1"/>
      </rPr>
      <t xml:space="preserve">MMR </t>
    </r>
    <r>
      <rPr>
        <sz val="11"/>
        <rFont val="Noto Sans CJK SC"/>
        <family val="2"/>
      </rPr>
      <t xml:space="preserve">보정 계수</t>
    </r>
  </si>
  <si>
    <t xml:space="preserve">MMR/RP</t>
  </si>
  <si>
    <r>
      <rPr>
        <sz val="11"/>
        <rFont val="Arial"/>
        <family val="0"/>
        <charset val="1"/>
      </rPr>
      <t xml:space="preserve">MMR 20 </t>
    </r>
    <r>
      <rPr>
        <sz val="11"/>
        <rFont val="Noto Sans CJK SC"/>
        <family val="2"/>
      </rPr>
      <t xml:space="preserve">차이당 </t>
    </r>
    <r>
      <rPr>
        <sz val="11"/>
        <rFont val="Arial"/>
        <family val="0"/>
        <charset val="1"/>
      </rPr>
      <t xml:space="preserve">RP 1</t>
    </r>
  </si>
  <si>
    <t xml:space="preserve">mmr_adj_per</t>
  </si>
  <si>
    <t xml:space="preserve">연승 보너스 시작 (n연승째)</t>
  </si>
  <si>
    <t xml:space="preserve">연승</t>
  </si>
  <si>
    <t xml:space="preserve">streak_start</t>
  </si>
  <si>
    <t xml:space="preserve">연승 보너스 RP (단계당)</t>
  </si>
  <si>
    <t xml:space="preserve">streak_rp_step</t>
  </si>
  <si>
    <t xml:space="preserve">연승 보너스 최대</t>
  </si>
  <si>
    <t xml:space="preserve">streak_rp_max</t>
  </si>
  <si>
    <t xml:space="preserve">이탈 추가 RP 감점</t>
  </si>
  <si>
    <t xml:space="preserve">패배 RP에 더해 차감</t>
  </si>
  <si>
    <t xml:space="preserve">leave_rp_penalty</t>
  </si>
  <si>
    <t xml:space="preserve">닷지 RP 감점</t>
  </si>
  <si>
    <t xml:space="preserve">밴픽 중 이탈</t>
  </si>
  <si>
    <t xml:space="preserve">dodge_rp_penalty</t>
  </si>
  <si>
    <t xml:space="preserve">시즌 리셋 하락 단계</t>
  </si>
  <si>
    <t xml:space="preserve">단계</t>
  </si>
  <si>
    <t xml:space="preserve">season_reset_tiers</t>
  </si>
  <si>
    <t xml:space="preserve">시즌 초반 승리 배율</t>
  </si>
  <si>
    <t xml:space="preserve">배</t>
  </si>
  <si>
    <t xml:space="preserve">지난 시즌 최고 단계 재도달 전까지</t>
  </si>
  <si>
    <t xml:space="preserve">season_early_win_mult</t>
  </si>
  <si>
    <t xml:space="preserve">단계당 RP</t>
  </si>
  <si>
    <t xml:space="preserve">rp_per_tier</t>
  </si>
  <si>
    <t xml:space="preserve">치명 배율</t>
  </si>
  <si>
    <t xml:space="preserve">crit_mult</t>
  </si>
  <si>
    <t xml:space="preserve">스탯 예산 목표</t>
  </si>
  <si>
    <t xml:space="preserve">점</t>
  </si>
  <si>
    <t xml:space="preserve">모든 캐릭터 공통</t>
  </si>
  <si>
    <t xml:space="preserve">stat_budget_target</t>
  </si>
  <si>
    <t xml:space="preserve">스탯 예산 허용 편차</t>
  </si>
  <si>
    <t xml:space="preserve">stat_budget_tol</t>
  </si>
  <si>
    <t xml:space="preserve">재접속 유예</t>
  </si>
  <si>
    <t xml:space="preserve">reconnect_grace_sec</t>
  </si>
  <si>
    <t xml:space="preserve">레전드 기준 (마스터 상위 N%)</t>
  </si>
  <si>
    <t xml:space="preserve">마스터 중 시즌 RP 상위 N%가 레전드(상세 08)</t>
  </si>
  <si>
    <t xml:space="preserve">legend_top_pct</t>
  </si>
  <si>
    <t xml:space="preserve">레전드 최대 인원</t>
  </si>
  <si>
    <t xml:space="preserve">명</t>
  </si>
  <si>
    <t xml:space="preserve">상위 N%가 이 수를 넘으면 이 수까지만</t>
  </si>
  <si>
    <t xml:space="preserve">legend_cap</t>
  </si>
  <si>
    <t xml:space="preserve">승급 시 AI 판 RP 인정</t>
  </si>
  <si>
    <t xml:space="preserve">1=켬 0=끔</t>
  </si>
  <si>
    <t xml:space="preserve">승급전에서 AI 랭킹전 RP를 인정할지(기본 켬)</t>
  </si>
  <si>
    <t xml:space="preserve">promo_ai_counts</t>
  </si>
  <si>
    <t xml:space="preserve">밴 선택 시간</t>
  </si>
  <si>
    <t xml:space="preserve">밴 단계, 양측 동시(총괄 7장)</t>
  </si>
  <si>
    <t xml:space="preserve">ban_sec</t>
  </si>
  <si>
    <t xml:space="preserve">픽 선택 시간</t>
  </si>
  <si>
    <t xml:space="preserve">픽 단계, 동시·비공개(총괄 7장)</t>
  </si>
  <si>
    <t xml:space="preserve">pick_sec</t>
  </si>
  <si>
    <t xml:space="preserve">스펠·덱 선택 시간</t>
  </si>
  <si>
    <t xml:space="preserve">상대 공개 후 스펠 2종과 덱 프리셋을 고르는 시간(총괄 7장)</t>
  </si>
  <si>
    <t xml:space="preserve">loadout_sec</t>
  </si>
  <si>
    <t xml:space="preserve">숨은 MMR 갱신 폭(K)</t>
  </si>
  <si>
    <t xml:space="preserve">MMR</t>
  </si>
  <si>
    <t xml:space="preserve">판 결과마다 Elo 방식으로 갱신, 시작값은 시트 `랭크_승점` 기준 MMR 시작</t>
  </si>
  <si>
    <t xml:space="preserve">mmr_k</t>
  </si>
  <si>
    <t xml:space="preserve">대체 AI 차선 확률(브론즈~실버)</t>
  </si>
  <si>
    <t xml:space="preserve">랭킹전 대체 AI가 1등 대신 차선을 고를 확률(상세 03)</t>
  </si>
  <si>
    <t xml:space="preserve">ai_subopt_bronze_silver</t>
  </si>
  <si>
    <t xml:space="preserve">대체 AI 차선 확률(골드~플래티넘)</t>
  </si>
  <si>
    <t xml:space="preserve">같은 항목, 매주 승률 50~55%를 보고 ±3%p 이내로 조정(상세 03)</t>
  </si>
  <si>
    <t xml:space="preserve">ai_subopt_gold_plat</t>
  </si>
  <si>
    <t xml:space="preserve">키(영문)는 서버·클라이언트가 값을 읽는 이름이다. 등록 후 변경하지 않는다.</t>
  </si>
  <si>
    <t xml:space="preserve">판당 시간 예산 (목표: 한 판 3~5분)</t>
  </si>
  <si>
    <t xml:space="preserve">시나리오별 입력(파란 글씨)을 바꾸면 전투·전체 시간이 다시 계산된다.</t>
  </si>
  <si>
    <t xml:space="preserve">시나리오</t>
  </si>
  <si>
    <t xml:space="preserve">매칭 대기(초)</t>
  </si>
  <si>
    <t xml:space="preserve">밴(초)</t>
  </si>
  <si>
    <t xml:space="preserve">픽(초)</t>
  </si>
  <si>
    <t xml:space="preserve">스펠·덱(초)</t>
  </si>
  <si>
    <t xml:space="preserve">공개 연출(초)</t>
  </si>
  <si>
    <t xml:space="preserve">턴 수</t>
  </si>
  <si>
    <t xml:space="preserve">턴당 선택(초)</t>
  </si>
  <si>
    <t xml:space="preserve">턴당 공개 연출(초)</t>
  </si>
  <si>
    <t xml:space="preserve">타임뱅크 사용(초)</t>
  </si>
  <si>
    <t xml:space="preserve">결과 화면(초)</t>
  </si>
  <si>
    <t xml:space="preserve">전투(초)</t>
  </si>
  <si>
    <t xml:space="preserve">전투(분)</t>
  </si>
  <si>
    <t xml:space="preserve">한 판 전체(초)</t>
  </si>
  <si>
    <t xml:space="preserve">한 판 전체(분)</t>
  </si>
  <si>
    <r>
      <rPr>
        <b val="true"/>
        <sz val="11"/>
        <color rgb="FFFFFFFF"/>
        <rFont val="Arial"/>
        <family val="0"/>
        <charset val="1"/>
      </rPr>
      <t xml:space="preserve">3~5</t>
    </r>
    <r>
      <rPr>
        <b val="true"/>
        <sz val="11"/>
        <color rgb="FFFFFFFF"/>
        <rFont val="Noto Sans CJK SC"/>
        <family val="2"/>
      </rPr>
      <t xml:space="preserve">분 안</t>
    </r>
    <r>
      <rPr>
        <b val="true"/>
        <sz val="11"/>
        <color rgb="FFFFFFFF"/>
        <rFont val="Arial"/>
        <family val="0"/>
        <charset val="1"/>
      </rPr>
      <t xml:space="preserve">?</t>
    </r>
  </si>
  <si>
    <t xml:space="preserve">빠른 판</t>
  </si>
  <si>
    <t xml:space="preserve">평균 판</t>
  </si>
  <si>
    <t xml:space="preserve">긴 판</t>
  </si>
  <si>
    <t xml:space="preserve">최악 판(모든 상한)</t>
  </si>
  <si>
    <t xml:space="preserve">최악 판 전투 시간(타임뱅크 제외, 분)</t>
  </si>
  <si>
    <t xml:space="preserve">메모: 최악 판은 설계상 상한(10턴·매 턴 시간 초과)이라 5분을 넘는다. 운영 지표는 '평균 판'과 판 길이 분포의 90% 지점으로 본다.</t>
  </si>
  <si>
    <t xml:space="preserve">캐릭터 스탯과 스탯 예산</t>
  </si>
  <si>
    <t xml:space="preserve">예산 = HP×w1 + ATK×w2 + DEF×w3 + SPD×w4 + CRIT×w5. 등급이 달라도 예산은 같게(±허용 편차). SPD 가중치는 전투 가치(연출 순서·동률)에 맞춰 0.1로 낮췄다(2026-10-24, 목표 280).</t>
  </si>
  <si>
    <t xml:space="preserve">가중치</t>
  </si>
  <si>
    <t xml:space="preserve">캐릭터</t>
  </si>
  <si>
    <t xml:space="preserve">직업</t>
  </si>
  <si>
    <t xml:space="preserve">등급</t>
  </si>
  <si>
    <t xml:space="preserve">역할</t>
  </si>
  <si>
    <t xml:space="preserve">제공 방식</t>
  </si>
  <si>
    <t xml:space="preserve">HP</t>
  </si>
  <si>
    <t xml:space="preserve">ATK</t>
  </si>
  <si>
    <t xml:space="preserve">DEF</t>
  </si>
  <si>
    <t xml:space="preserve">SPD</t>
  </si>
  <si>
    <t xml:space="preserve">CRIT(%)</t>
  </si>
  <si>
    <t xml:space="preserve">스탯 예산</t>
  </si>
  <si>
    <t xml:space="preserve">목표 대비</t>
  </si>
  <si>
    <t xml:space="preserve">판정</t>
  </si>
  <si>
    <t xml:space="preserve">패시브</t>
  </si>
  <si>
    <t xml:space="preserve">액티브</t>
  </si>
  <si>
    <t xml:space="preserve">진영</t>
  </si>
  <si>
    <t xml:space="preserve">ID</t>
  </si>
  <si>
    <t xml:space="preserve">패시브 수치</t>
  </si>
  <si>
    <t xml:space="preserve">액티브 수치</t>
  </si>
  <si>
    <t xml:space="preserve">아우렐</t>
  </si>
  <si>
    <t xml:space="preserve">태양 기사</t>
  </si>
  <si>
    <t xml:space="preserve">일반</t>
  </si>
  <si>
    <t xml:space="preserve">탱커</t>
  </si>
  <si>
    <t xml:space="preserve">본편 포함</t>
  </si>
  <si>
    <t xml:space="preserve">태양 방패: 방어 카드 실드 +20%, 턴 종료 시 남은 실드 50% 이월</t>
  </si>
  <si>
    <t xml:space="preserve">일륜 반격: 보유 실드의 150%를 피해로 전환, 실드 소멸</t>
  </si>
  <si>
    <t xml:space="preserve">불</t>
  </si>
  <si>
    <t xml:space="preserve">AU</t>
  </si>
  <si>
    <t xml:space="preserve">passive_shield_bonus=0.2;passive_carry=0.5</t>
  </si>
  <si>
    <t xml:space="preserve">active_mult=1.5</t>
  </si>
  <si>
    <t xml:space="preserve">피로스</t>
  </si>
  <si>
    <t xml:space="preserve">광전사</t>
  </si>
  <si>
    <t xml:space="preserve">희귀</t>
  </si>
  <si>
    <t xml:space="preserve">브루저</t>
  </si>
  <si>
    <t xml:space="preserve">타오르는 피: 잃은 HP 10%당 ATK +3%</t>
  </si>
  <si>
    <t xml:space="preserve">업화: 2턴간 공격 카드 피해 ×1.5, 받는 피해 +15%</t>
  </si>
  <si>
    <t xml:space="preserve">PY</t>
  </si>
  <si>
    <t xml:space="preserve">passive_atk_per10=0.03</t>
  </si>
  <si>
    <t xml:space="preserve">active_turns=2;active_taken_up=0.15;active_hits=1;active_hit_mult=1.5</t>
  </si>
  <si>
    <t xml:space="preserve">이그니스</t>
  </si>
  <si>
    <t xml:space="preserve">불꽃 검사</t>
  </si>
  <si>
    <t xml:space="preserve">전설</t>
  </si>
  <si>
    <t xml:space="preserve">견제</t>
  </si>
  <si>
    <t xml:space="preserve">불씨: 공격 적중 시 25% 작열 1스택(2턴, 턴당 최대 HP 3%, 최대 3스택)</t>
  </si>
  <si>
    <t xml:space="preserve">대화재: 상대의 남은 작열 피해를 2배로 즉시 터뜨림</t>
  </si>
  <si>
    <t xml:space="preserve">IG</t>
  </si>
  <si>
    <t xml:space="preserve">passive_chance=0.25</t>
  </si>
  <si>
    <t xml:space="preserve">active_mult=2</t>
  </si>
  <si>
    <t xml:space="preserve">셀레네</t>
  </si>
  <si>
    <t xml:space="preserve">달빛 사제</t>
  </si>
  <si>
    <t xml:space="preserve">유지</t>
  </si>
  <si>
    <t xml:space="preserve">월광: 턴 종료 시 최대 HP 3% 회복, 넘친 회복은 실드로(최대 HP 10%)</t>
  </si>
  <si>
    <t xml:space="preserve">만월 역행: HP를 2턴 전 시작 시점으로 되돌림</t>
  </si>
  <si>
    <t xml:space="preserve">물</t>
  </si>
  <si>
    <t xml:space="preserve">SE</t>
  </si>
  <si>
    <t xml:space="preserve">passive_regen=0.03;passive_shield_cap=0.1</t>
  </si>
  <si>
    <t xml:space="preserve">active_lookback=2</t>
  </si>
  <si>
    <t xml:space="preserve">실피</t>
  </si>
  <si>
    <t xml:space="preserve">바람 사수</t>
  </si>
  <si>
    <t xml:space="preserve">템포</t>
  </si>
  <si>
    <t xml:space="preserve">순풍: 매 턴 처음 내는 1E 카드는 에너지 0</t>
  </si>
  <si>
    <t xml:space="preserve">회오리: 상대 손패를 덱에 섞고 같은 장수만큼 다시 뽑게 함, 상대 다음 턴 에너지 이월 0</t>
  </si>
  <si>
    <t xml:space="preserve">바람</t>
  </si>
  <si>
    <t xml:space="preserve">SL</t>
  </si>
  <si>
    <t xml:space="preserve">passive_free_cards=1</t>
  </si>
  <si>
    <t xml:space="preserve">active_no_carry_turns=1</t>
  </si>
  <si>
    <t xml:space="preserve">테티스</t>
  </si>
  <si>
    <t xml:space="preserve">조수의 창기사</t>
  </si>
  <si>
    <t xml:space="preserve">영웅</t>
  </si>
  <si>
    <t xml:space="preserve">리듬 브루저</t>
  </si>
  <si>
    <t xml:space="preserve">조류: 홀수 턴 공격 피해 +20%, 짝수 턴 받는 피해 −20%</t>
  </si>
  <si>
    <t xml:space="preserve">대조류: 2턴간 밀물·썰물 효과 동시 적용</t>
  </si>
  <si>
    <t xml:space="preserve">TE</t>
  </si>
  <si>
    <t xml:space="preserve">passive_flood=0.2;passive_ebb=0.2</t>
  </si>
  <si>
    <t xml:space="preserve">active_turns=2</t>
  </si>
  <si>
    <t xml:space="preserve">움브라</t>
  </si>
  <si>
    <t xml:space="preserve">그림자 암살자</t>
  </si>
  <si>
    <t xml:space="preserve">딜러</t>
  </si>
  <si>
    <t xml:space="preserve">어둠의 칼날: 상대 HP 50% 이하일 때 치명 +15%p</t>
  </si>
  <si>
    <t xml:space="preserve">처형: 상대가 잃은 HP의 35% 피해, 방어력·실드 무시</t>
  </si>
  <si>
    <t xml:space="preserve">UM</t>
  </si>
  <si>
    <t xml:space="preserve">passive_crit_bonus=15;passive_hp_below=0.5</t>
  </si>
  <si>
    <t xml:space="preserve">active_pct=0.35</t>
  </si>
  <si>
    <t xml:space="preserve">실렌티아</t>
  </si>
  <si>
    <t xml:space="preserve">침묵의 수녀</t>
  </si>
  <si>
    <t xml:space="preserve">컨트롤</t>
  </si>
  <si>
    <t xml:space="preserve">고요: 침묵 카드 사용 시 1장 드로우</t>
  </si>
  <si>
    <t xml:space="preserve">망각의 밤: 상대 다음 턴 에너지 −1, 손패 1장 봉인</t>
  </si>
  <si>
    <t xml:space="preserve">SI</t>
  </si>
  <si>
    <t xml:space="preserve">passive_draw=1</t>
  </si>
  <si>
    <t xml:space="preserve">active_energy_down=1;active_seal=1</t>
  </si>
  <si>
    <t xml:space="preserve">모르테</t>
  </si>
  <si>
    <t xml:space="preserve">망령 기사</t>
  </si>
  <si>
    <t xml:space="preserve">죽음의 그림자: 상대가 약화 상태면 받는 피해 −15%</t>
  </si>
  <si>
    <t xml:space="preserve">영혼 수확: 상대에게 건 디버프 횟수(최대 5)×상대 최대 HP 6% 피해 + 그만큼 회복</t>
  </si>
  <si>
    <t xml:space="preserve">MO</t>
  </si>
  <si>
    <t xml:space="preserve">passive_reduce=0.15</t>
  </si>
  <si>
    <t xml:space="preserve">active_per_debuff=0.06;active_max_debuffs=5</t>
  </si>
  <si>
    <r>
      <rPr>
        <i val="true"/>
        <sz val="9"/>
        <color rgb="FF666666"/>
        <rFont val="Arial"/>
        <family val="0"/>
        <charset val="1"/>
      </rPr>
      <t xml:space="preserve">SPD: </t>
    </r>
    <r>
      <rPr>
        <i val="true"/>
        <sz val="9"/>
        <color rgb="FF666666"/>
        <rFont val="Noto Sans CJK SC"/>
        <family val="2"/>
      </rPr>
      <t xml:space="preserve">같은 처리 단계 안에서 연출 순서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판정은 단계 단위로 동시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액티브 게이지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Noto Sans CJK SC"/>
        <family val="2"/>
      </rPr>
      <t xml:space="preserve">턴 시작 </t>
    </r>
    <r>
      <rPr>
        <i val="true"/>
        <sz val="9"/>
        <color rgb="FF666666"/>
        <rFont val="Arial"/>
        <family val="0"/>
        <charset val="1"/>
      </rPr>
      <t xml:space="preserve">+15, </t>
    </r>
    <r>
      <rPr>
        <i val="true"/>
        <sz val="9"/>
        <color rgb="FF666666"/>
        <rFont val="Noto Sans CJK SC"/>
        <family val="2"/>
      </rPr>
      <t xml:space="preserve">쓴 에너지 </t>
    </r>
    <r>
      <rPr>
        <i val="true"/>
        <sz val="9"/>
        <color rgb="FF666666"/>
        <rFont val="Arial"/>
        <family val="0"/>
        <charset val="1"/>
      </rPr>
      <t xml:space="preserve">1</t>
    </r>
    <r>
      <rPr>
        <i val="true"/>
        <sz val="9"/>
        <color rgb="FF666666"/>
        <rFont val="Noto Sans CJK SC"/>
        <family val="2"/>
      </rPr>
      <t xml:space="preserve">당 </t>
    </r>
    <r>
      <rPr>
        <i val="true"/>
        <sz val="9"/>
        <color rgb="FF666666"/>
        <rFont val="Arial"/>
        <family val="0"/>
        <charset val="1"/>
      </rPr>
      <t xml:space="preserve">+8.</t>
    </r>
  </si>
  <si>
    <r>
      <rPr>
        <i val="true"/>
        <sz val="9"/>
        <color rgb="FF666666"/>
        <rFont val="Arial"/>
        <family val="0"/>
        <charset val="1"/>
      </rPr>
      <t xml:space="preserve">ID: </t>
    </r>
    <r>
      <rPr>
        <i val="true"/>
        <sz val="9"/>
        <color rgb="FF666666"/>
        <rFont val="Noto Sans CJK SC"/>
        <family val="2"/>
      </rPr>
      <t xml:space="preserve">영문 대문자 </t>
    </r>
    <r>
      <rPr>
        <i val="true"/>
        <sz val="9"/>
        <color rgb="FF666666"/>
        <rFont val="Arial"/>
        <family val="0"/>
        <charset val="1"/>
      </rPr>
      <t xml:space="preserve">2~3</t>
    </r>
    <r>
      <rPr>
        <i val="true"/>
        <sz val="9"/>
        <color rgb="FF666666"/>
        <rFont val="Noto Sans CJK SC"/>
        <family val="2"/>
      </rPr>
      <t xml:space="preserve">자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중복 불가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등록 후 변경 불가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전용카드 </t>
    </r>
    <r>
      <rPr>
        <i val="true"/>
        <sz val="9"/>
        <color rgb="FF666666"/>
        <rFont val="Arial"/>
        <family val="0"/>
        <charset val="1"/>
      </rPr>
      <t xml:space="preserve">ID = </t>
    </r>
    <r>
      <rPr>
        <i val="true"/>
        <sz val="9"/>
        <color rgb="FF666666"/>
        <rFont val="Noto Sans CJK SC"/>
        <family val="2"/>
      </rPr>
      <t xml:space="preserve">캐릭터 </t>
    </r>
    <r>
      <rPr>
        <i val="true"/>
        <sz val="9"/>
        <color rgb="FF666666"/>
        <rFont val="Arial"/>
        <family val="0"/>
        <charset val="1"/>
      </rPr>
      <t xml:space="preserve">ID + 2</t>
    </r>
    <r>
      <rPr>
        <i val="true"/>
        <sz val="9"/>
        <color rgb="FF666666"/>
        <rFont val="Noto Sans CJK SC"/>
        <family val="2"/>
      </rPr>
      <t xml:space="preserve">자리 순번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상세 </t>
    </r>
    <r>
      <rPr>
        <i val="true"/>
        <sz val="9"/>
        <color rgb="FF666666"/>
        <rFont val="Arial"/>
        <family val="0"/>
        <charset val="1"/>
      </rPr>
      <t xml:space="preserve">14). </t>
    </r>
    <r>
      <rPr>
        <i val="true"/>
        <sz val="9"/>
        <color rgb="FF666666"/>
        <rFont val="Noto Sans CJK SC"/>
        <family val="2"/>
      </rPr>
      <t xml:space="preserve">제공 방식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Noto Sans CJK SC"/>
        <family val="2"/>
      </rPr>
      <t xml:space="preserve">출시 </t>
    </r>
    <r>
      <rPr>
        <i val="true"/>
        <sz val="9"/>
        <color rgb="FF666666"/>
        <rFont val="Arial"/>
        <family val="0"/>
        <charset val="1"/>
      </rPr>
      <t xml:space="preserve">9</t>
    </r>
    <r>
      <rPr>
        <i val="true"/>
        <sz val="9"/>
        <color rgb="FF666666"/>
        <rFont val="Noto Sans CJK SC"/>
        <family val="2"/>
      </rPr>
      <t xml:space="preserve">명은 모두 본편 포함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출시 후 추가 캐릭터는 </t>
    </r>
    <r>
      <rPr>
        <i val="true"/>
        <sz val="9"/>
        <color rgb="FF666666"/>
        <rFont val="Arial"/>
        <family val="0"/>
        <charset val="1"/>
      </rPr>
      <t xml:space="preserve">"</t>
    </r>
    <r>
      <rPr>
        <i val="true"/>
        <sz val="9"/>
        <color rgb="FF666666"/>
        <rFont val="Noto Sans CJK SC"/>
        <family val="2"/>
      </rPr>
      <t xml:space="preserve">유료 추가</t>
    </r>
    <r>
      <rPr>
        <i val="true"/>
        <sz val="9"/>
        <color rgb="FF666666"/>
        <rFont val="Arial"/>
        <family val="0"/>
        <charset val="1"/>
      </rPr>
      <t xml:space="preserve">".</t>
    </r>
  </si>
  <si>
    <t xml:space="preserve">패시브 수치·액티브 수치: 엔진이 읽는 스킬 수치(키=값;키=값). 문구와 다르면 이 열이 기준이다(상세 14).</t>
  </si>
  <si>
    <t xml:space="preserve">전투카드 (공용 16 + 전용 18)</t>
  </si>
  <si>
    <t xml:space="preserve">기대 피해는 기준 공격자/방어자 대비(버프·치명·폭주 제외). 에너지당 피해로 효율을 비교한다.</t>
  </si>
  <si>
    <t xml:space="preserve">기준 ATK</t>
  </si>
  <si>
    <t xml:space="preserve">기준 DEF</t>
  </si>
  <si>
    <t xml:space="preserve">카드명</t>
  </si>
  <si>
    <t xml:space="preserve">종류</t>
  </si>
  <si>
    <t xml:space="preserve">처리 단계</t>
  </si>
  <si>
    <t xml:space="preserve">공용/전용</t>
  </si>
  <si>
    <t xml:space="preserve">비용(E)</t>
  </si>
  <si>
    <t xml:space="preserve">계수</t>
  </si>
  <si>
    <t xml:space="preserve">타수</t>
  </si>
  <si>
    <t xml:space="preserve">관통</t>
  </si>
  <si>
    <t xml:space="preserve">효과</t>
  </si>
  <si>
    <t xml:space="preserve">기대 피해</t>
  </si>
  <si>
    <t xml:space="preserve">에너지당 피해</t>
  </si>
  <si>
    <t xml:space="preserve">C01</t>
  </si>
  <si>
    <t xml:space="preserve">베기</t>
  </si>
  <si>
    <t xml:space="preserve">공격</t>
  </si>
  <si>
    <t xml:space="preserve">공용</t>
  </si>
  <si>
    <t xml:space="preserve">ATK×1.0</t>
  </si>
  <si>
    <t xml:space="preserve">C02</t>
  </si>
  <si>
    <t xml:space="preserve">강타</t>
  </si>
  <si>
    <t xml:space="preserve">ATK×1.8</t>
  </si>
  <si>
    <t xml:space="preserve">C03</t>
  </si>
  <si>
    <t xml:space="preserve">연속 찌르기</t>
  </si>
  <si>
    <r>
      <rPr>
        <sz val="11"/>
        <rFont val="Arial"/>
        <family val="0"/>
        <charset val="1"/>
      </rPr>
      <t xml:space="preserve">ATK×0.6 3</t>
    </r>
    <r>
      <rPr>
        <sz val="11"/>
        <rFont val="Noto Sans CJK SC"/>
        <family val="2"/>
      </rPr>
      <t xml:space="preserve">회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타격마다 실드 차감</t>
    </r>
  </si>
  <si>
    <t xml:space="preserve">C04</t>
  </si>
  <si>
    <t xml:space="preserve">관통 일격</t>
  </si>
  <si>
    <r>
      <rPr>
        <sz val="11"/>
        <rFont val="Arial"/>
        <family val="0"/>
        <charset val="1"/>
      </rPr>
      <t xml:space="preserve">ATK×1.5, </t>
    </r>
    <r>
      <rPr>
        <sz val="11"/>
        <rFont val="Noto Sans CJK SC"/>
        <family val="2"/>
      </rPr>
      <t xml:space="preserve">방어력 </t>
    </r>
    <r>
      <rPr>
        <sz val="11"/>
        <rFont val="Arial"/>
        <family val="0"/>
        <charset val="1"/>
      </rPr>
      <t xml:space="preserve">50% </t>
    </r>
    <r>
      <rPr>
        <sz val="11"/>
        <rFont val="Noto Sans CJK SC"/>
        <family val="2"/>
      </rPr>
      <t xml:space="preserve">무시</t>
    </r>
  </si>
  <si>
    <t xml:space="preserve">C05</t>
  </si>
  <si>
    <t xml:space="preserve">막기</t>
  </si>
  <si>
    <t xml:space="preserve">방어</t>
  </si>
  <si>
    <t xml:space="preserve">실드 DEF×2.0 (이번 턴)</t>
  </si>
  <si>
    <t xml:space="preserve">C06</t>
  </si>
  <si>
    <t xml:space="preserve">철벽</t>
  </si>
  <si>
    <t xml:space="preserve">실드 DEF×3.5 (이번 턴)</t>
  </si>
  <si>
    <t xml:space="preserve">C07</t>
  </si>
  <si>
    <t xml:space="preserve">받아치기</t>
  </si>
  <si>
    <t xml:space="preserve">반격</t>
  </si>
  <si>
    <t xml:space="preserve">상대 공격 카드 1장 무효 + ATK×0.8 반격</t>
  </si>
  <si>
    <t xml:space="preserve">C08</t>
  </si>
  <si>
    <t xml:space="preserve">봉인</t>
  </si>
  <si>
    <t xml:space="preserve">침묵</t>
  </si>
  <si>
    <t xml:space="preserve">상대 이번 턴 스킬·액티브 무효, 다음 턴 액티브 봉인</t>
  </si>
  <si>
    <t xml:space="preserve">C09</t>
  </si>
  <si>
    <t xml:space="preserve">쉿</t>
  </si>
  <si>
    <t xml:space="preserve">상대 다음 턴 스킬 봉쇄(이번 턴 효과 없음)</t>
  </si>
  <si>
    <t xml:space="preserve">C10</t>
  </si>
  <si>
    <t xml:space="preserve">정신 집중</t>
  </si>
  <si>
    <t xml:space="preserve">면역</t>
  </si>
  <si>
    <t xml:space="preserve">이번 턴 + 다음 턴 디버프 면역</t>
  </si>
  <si>
    <t xml:space="preserve">C11</t>
  </si>
  <si>
    <t xml:space="preserve">신성 결계</t>
  </si>
  <si>
    <t xml:space="preserve">이번 턴 디버프 면역 + 디버프 해제 + 실드 DEF×1.0</t>
  </si>
  <si>
    <t xml:space="preserve">C12</t>
  </si>
  <si>
    <t xml:space="preserve">약화</t>
  </si>
  <si>
    <t xml:space="preserve">방해</t>
  </si>
  <si>
    <t xml:space="preserve">상대 다음 턴 ATK −20%</t>
  </si>
  <si>
    <t xml:space="preserve">C13</t>
  </si>
  <si>
    <t xml:space="preserve">응급 처치</t>
  </si>
  <si>
    <t xml:space="preserve">스킬</t>
  </si>
  <si>
    <t xml:space="preserve">최대 HP 12% 회복</t>
  </si>
  <si>
    <t xml:space="preserve">C14</t>
  </si>
  <si>
    <t xml:space="preserve">집중</t>
  </si>
  <si>
    <t xml:space="preserve">스킬 게이지 +25</t>
  </si>
  <si>
    <t xml:space="preserve">C15</t>
  </si>
  <si>
    <t xml:space="preserve">전술 드로우</t>
  </si>
  <si>
    <t xml:space="preserve">카드 2장 드로우</t>
  </si>
  <si>
    <t xml:space="preserve">C16</t>
  </si>
  <si>
    <t xml:space="preserve">분노</t>
  </si>
  <si>
    <t xml:space="preserve">공격 강화: 이번 턴 공격 피해 +30%</t>
  </si>
  <si>
    <t xml:space="preserve">AU01</t>
  </si>
  <si>
    <t xml:space="preserve">일출의 방패</t>
  </si>
  <si>
    <t xml:space="preserve">실드 DEF×2.5, 이 실드는 다음 턴 100% 이월</t>
  </si>
  <si>
    <t xml:space="preserve">AU02</t>
  </si>
  <si>
    <t xml:space="preserve">정오의 결의</t>
  </si>
  <si>
    <t xml:space="preserve">현재 실드 +30%, 게이지 +20</t>
  </si>
  <si>
    <t xml:space="preserve">PY01</t>
  </si>
  <si>
    <t xml:space="preserve">불꽃 일격</t>
  </si>
  <si>
    <r>
      <rPr>
        <sz val="11"/>
        <rFont val="Arial"/>
        <family val="0"/>
        <charset val="1"/>
      </rPr>
      <t xml:space="preserve">ATK×2.0, </t>
    </r>
    <r>
      <rPr>
        <sz val="11"/>
        <rFont val="Noto Sans CJK SC"/>
        <family val="2"/>
      </rPr>
      <t xml:space="preserve">자신 최대 </t>
    </r>
    <r>
      <rPr>
        <sz val="11"/>
        <rFont val="Arial"/>
        <family val="0"/>
        <charset val="1"/>
      </rPr>
      <t xml:space="preserve">HP 5% </t>
    </r>
    <r>
      <rPr>
        <sz val="11"/>
        <rFont val="Noto Sans CJK SC"/>
        <family val="2"/>
      </rPr>
      <t xml:space="preserve">소모</t>
    </r>
  </si>
  <si>
    <t xml:space="preserve">PY02</t>
  </si>
  <si>
    <t xml:space="preserve">연소</t>
  </si>
  <si>
    <t xml:space="preserve">자신 최대 HP 8% 소모, 게이지 +35</t>
  </si>
  <si>
    <t xml:space="preserve">IG01</t>
  </si>
  <si>
    <t xml:space="preserve">화염 결계</t>
  </si>
  <si>
    <t xml:space="preserve">상대 공격 카드 1장 무효 + 작열 2스택</t>
  </si>
  <si>
    <t xml:space="preserve">IG02</t>
  </si>
  <si>
    <t xml:space="preserve">불티 세례</t>
  </si>
  <si>
    <r>
      <rPr>
        <sz val="11"/>
        <rFont val="Arial"/>
        <family val="0"/>
        <charset val="1"/>
      </rPr>
      <t xml:space="preserve">ATK×0.5 3</t>
    </r>
    <r>
      <rPr>
        <sz val="11"/>
        <rFont val="Noto Sans CJK SC"/>
        <family val="2"/>
      </rPr>
      <t xml:space="preserve">회</t>
    </r>
    <r>
      <rPr>
        <sz val="11"/>
        <rFont val="Arial"/>
        <family val="0"/>
        <charset val="1"/>
      </rPr>
      <t xml:space="preserve">, HP </t>
    </r>
    <r>
      <rPr>
        <sz val="11"/>
        <rFont val="Noto Sans CJK SC"/>
        <family val="2"/>
      </rPr>
      <t xml:space="preserve">피해가 들어가면 작열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스택</t>
    </r>
  </si>
  <si>
    <t xml:space="preserve">SE01</t>
  </si>
  <si>
    <t xml:space="preserve">달의 기도</t>
  </si>
  <si>
    <t xml:space="preserve">이번·다음 턴 회복량 +50%, 게이지 +15</t>
  </si>
  <si>
    <t xml:space="preserve">SE02</t>
  </si>
  <si>
    <t xml:space="preserve">월광 일섬</t>
  </si>
  <si>
    <r>
      <rPr>
        <sz val="11"/>
        <rFont val="Arial"/>
        <family val="0"/>
        <charset val="1"/>
      </rPr>
      <t xml:space="preserve">ATK×1.2, </t>
    </r>
    <r>
      <rPr>
        <sz val="11"/>
        <rFont val="Noto Sans CJK SC"/>
        <family val="2"/>
      </rPr>
      <t xml:space="preserve">준 </t>
    </r>
    <r>
      <rPr>
        <sz val="11"/>
        <rFont val="Arial"/>
        <family val="0"/>
        <charset val="1"/>
      </rPr>
      <t xml:space="preserve">HP </t>
    </r>
    <r>
      <rPr>
        <sz val="11"/>
        <rFont val="Noto Sans CJK SC"/>
        <family val="2"/>
      </rPr>
      <t xml:space="preserve">피해의 </t>
    </r>
    <r>
      <rPr>
        <sz val="11"/>
        <rFont val="Arial"/>
        <family val="0"/>
        <charset val="1"/>
      </rPr>
      <t xml:space="preserve">30% </t>
    </r>
    <r>
      <rPr>
        <sz val="11"/>
        <rFont val="Noto Sans CJK SC"/>
        <family val="2"/>
      </rPr>
      <t xml:space="preserve">회복</t>
    </r>
  </si>
  <si>
    <t xml:space="preserve">SL01</t>
  </si>
  <si>
    <t xml:space="preserve">산들바람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</si>
  <si>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장 드로우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게이지 </t>
    </r>
    <r>
      <rPr>
        <sz val="11"/>
        <rFont val="Arial"/>
        <family val="0"/>
        <charset val="1"/>
      </rPr>
      <t xml:space="preserve">+20</t>
    </r>
  </si>
  <si>
    <t xml:space="preserve">SL02</t>
  </si>
  <si>
    <t xml:space="preserve">칼바람</t>
  </si>
  <si>
    <r>
      <rPr>
        <sz val="11"/>
        <rFont val="Arial"/>
        <family val="0"/>
        <charset val="1"/>
      </rPr>
      <t xml:space="preserve">ATK×0.7, </t>
    </r>
    <r>
      <rPr>
        <sz val="11"/>
        <rFont val="Noto Sans CJK SC"/>
        <family val="2"/>
      </rPr>
      <t xml:space="preserve">이번 턴 내 </t>
    </r>
    <r>
      <rPr>
        <sz val="11"/>
        <rFont val="Arial"/>
        <family val="0"/>
        <charset val="1"/>
      </rPr>
      <t xml:space="preserve">SPD</t>
    </r>
    <r>
      <rPr>
        <sz val="11"/>
        <rFont val="Noto Sans CJK SC"/>
        <family val="2"/>
      </rPr>
      <t xml:space="preserve">가 더 높으면 </t>
    </r>
    <r>
      <rPr>
        <sz val="11"/>
        <rFont val="Arial"/>
        <family val="0"/>
        <charset val="1"/>
      </rPr>
      <t xml:space="preserve">×1.5</t>
    </r>
  </si>
  <si>
    <t xml:space="preserve">TE01</t>
  </si>
  <si>
    <t xml:space="preserve">밀물 찌르기</t>
  </si>
  <si>
    <r>
      <rPr>
        <sz val="11"/>
        <rFont val="Arial"/>
        <family val="0"/>
        <charset val="1"/>
      </rPr>
      <t xml:space="preserve">ATK×1.3, </t>
    </r>
    <r>
      <rPr>
        <sz val="11"/>
        <rFont val="Noto Sans CJK SC"/>
        <family val="2"/>
      </rPr>
      <t xml:space="preserve">밀물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홀수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턴이면 게이지 </t>
    </r>
    <r>
      <rPr>
        <sz val="11"/>
        <rFont val="Arial"/>
        <family val="0"/>
        <charset val="1"/>
      </rPr>
      <t xml:space="preserve">+20</t>
    </r>
  </si>
  <si>
    <t xml:space="preserve">TE02</t>
  </si>
  <si>
    <t xml:space="preserve">썰물 방벽</t>
  </si>
  <si>
    <t xml:space="preserve">실드 DEF×1.5, 썰물(짝수) 턴이면 ×2</t>
  </si>
  <si>
    <t xml:space="preserve">UM01</t>
  </si>
  <si>
    <t xml:space="preserve">그림자 표식</t>
  </si>
  <si>
    <t xml:space="preserve">표식: 2턴간 받는 치명 피해 +20%, 처형 계수 +10%p</t>
  </si>
  <si>
    <t xml:space="preserve">UM02</t>
  </si>
  <si>
    <t xml:space="preserve">그림자 걸음</t>
  </si>
  <si>
    <t xml:space="preserve">다음 턴 SPD +30, 게이지 +25</t>
  </si>
  <si>
    <t xml:space="preserve">SI01</t>
  </si>
  <si>
    <t xml:space="preserve">마나 붕괴</t>
  </si>
  <si>
    <t xml:space="preserve">봉인 효과 + 상대 게이지 −30</t>
  </si>
  <si>
    <t xml:space="preserve">SI02</t>
  </si>
  <si>
    <t xml:space="preserve">어둠 화살</t>
  </si>
  <si>
    <r>
      <rPr>
        <sz val="11"/>
        <rFont val="Arial"/>
        <family val="0"/>
        <charset val="1"/>
      </rPr>
      <t xml:space="preserve">ATK×0.9, </t>
    </r>
    <r>
      <rPr>
        <sz val="11"/>
        <rFont val="Noto Sans CJK SC"/>
        <family val="2"/>
      </rPr>
      <t xml:space="preserve">침묵 상태 상대에게 </t>
    </r>
    <r>
      <rPr>
        <sz val="11"/>
        <rFont val="Arial"/>
        <family val="0"/>
        <charset val="1"/>
      </rPr>
      <t xml:space="preserve">+50%</t>
    </r>
  </si>
  <si>
    <t xml:space="preserve">MO01</t>
  </si>
  <si>
    <t xml:space="preserve">저주의 손길</t>
  </si>
  <si>
    <t xml:space="preserve">상대 약화 2턴(ATK −20%)</t>
  </si>
  <si>
    <t xml:space="preserve">MO02</t>
  </si>
  <si>
    <t xml:space="preserve">망령 갑주</t>
  </si>
  <si>
    <t xml:space="preserve">실드 DEF×2.0, 약화 상태 상대에게 맞으면 실드 +50%</t>
  </si>
  <si>
    <t xml:space="preserve">처리 단계: 0 스펠 → 1 보호(면역·방어·반격) → 2 방해(침묵·방해) → 3 스킬 → 4 공격 → 5 턴 종료. 계수 칸은 종류별 의미가 다름(실드 배수, 회복 비율, 게이지량 등). 이 번호는 총괄 6장의 처리 순서와 같다(0은 스펠 시트, 5는 카드가 없는 턴 종료 처리).</t>
  </si>
  <si>
    <t xml:space="preserve">카드 종류 7종 (정식 목록)</t>
  </si>
  <si>
    <t xml:space="preserve">영문 키</t>
  </si>
  <si>
    <t xml:space="preserve">하는 일</t>
  </si>
  <si>
    <t xml:space="preserve">immune</t>
  </si>
  <si>
    <t xml:space="preserve">침묵·디버프를 막음(피해는 못 막음)</t>
  </si>
  <si>
    <t xml:space="preserve">defense</t>
  </si>
  <si>
    <t xml:space="preserve">실드 생성(DEF 비례)</t>
  </si>
  <si>
    <t xml:space="preserve">counter</t>
  </si>
  <si>
    <t xml:space="preserve">상대 공격 카드 1장 무효 + 반격</t>
  </si>
  <si>
    <t xml:space="preserve">silence</t>
  </si>
  <si>
    <t xml:space="preserve">상대 스킬·액티브 무효, 다음 턴 액티브 봉인</t>
  </si>
  <si>
    <t xml:space="preserve">disrupt</t>
  </si>
  <si>
    <t xml:space="preserve">약화 등 디버프</t>
  </si>
  <si>
    <t xml:space="preserve">skill</t>
  </si>
  <si>
    <t xml:space="preserve">버프·드로우·게이지·회복(액티브 포함)</t>
  </si>
  <si>
    <t xml:space="preserve">attack</t>
  </si>
  <si>
    <r>
      <rPr>
        <sz val="11"/>
        <rFont val="Arial"/>
        <family val="0"/>
        <charset val="1"/>
      </rPr>
      <t xml:space="preserve">ATK × </t>
    </r>
    <r>
      <rPr>
        <sz val="11"/>
        <rFont val="Noto Sans CJK SC"/>
        <family val="2"/>
      </rPr>
      <t xml:space="preserve">계수 피해</t>
    </r>
  </si>
  <si>
    <t xml:space="preserve">카드 ID: 공용 C01~C16, 전용 = 캐릭터 ID + 2자리 순번(예 SE01). 등록 후 변경 불가.</t>
  </si>
  <si>
    <t xml:space="preserve">스펠 (8종 중 2종 선택, 방어·유틸만)</t>
  </si>
  <si>
    <t xml:space="preserve">판당 최대 사용 횟수 = 1 + 내림((판 길이 − 최초 사용 턴) ÷ 쿨다운)</t>
  </si>
  <si>
    <t xml:space="preserve">최초 사용 가능 턴</t>
  </si>
  <si>
    <t xml:space="preserve">평균 판 턴 수</t>
  </si>
  <si>
    <t xml:space="preserve">스펠</t>
  </si>
  <si>
    <t xml:space="preserve">효과값</t>
  </si>
  <si>
    <t xml:space="preserve">쿨다운(턴)</t>
  </si>
  <si>
    <t xml:space="preserve">최대 턴 판 최대 사용</t>
  </si>
  <si>
    <t xml:space="preserve">평균 판 최대 사용</t>
  </si>
  <si>
    <t xml:space="preserve">메모</t>
  </si>
  <si>
    <t xml:space="preserve">수호</t>
  </si>
  <si>
    <t xml:space="preserve">이번 턴 받는 모든 피해 0(지속 피해 포함)</t>
  </si>
  <si>
    <t xml:space="preserve">상대가 공격 안 하면 헛방</t>
  </si>
  <si>
    <t xml:space="preserve">SP01</t>
  </si>
  <si>
    <t xml:space="preserve">거울</t>
  </si>
  <si>
    <t xml:space="preserve">이번 턴 받는 직접 피해의 N% 반사(받는 피해 그대로)</t>
  </si>
  <si>
    <t xml:space="preserve">반사 피해 재반사 없음</t>
  </si>
  <si>
    <t xml:space="preserve">SP02</t>
  </si>
  <si>
    <t xml:space="preserve">정화</t>
  </si>
  <si>
    <t xml:space="preserve">디버프 전부 해제 + 이번 턴 디버프 면역</t>
  </si>
  <si>
    <t xml:space="preserve">침묵·작열 대응</t>
  </si>
  <si>
    <t xml:space="preserve">SP03</t>
  </si>
  <si>
    <t xml:space="preserve">회복</t>
  </si>
  <si>
    <t xml:space="preserve">최대 HP N% 회복(폭주 중 절반)</t>
  </si>
  <si>
    <t xml:space="preserve">SP04</t>
  </si>
  <si>
    <t xml:space="preserve">봉쇄</t>
  </si>
  <si>
    <t xml:space="preserve">이번 턴 상대 스펠 효과 무효</t>
  </si>
  <si>
    <t xml:space="preserve">상대가 스펠을 안 쓰면 헛방, 양측 봉쇄면 상쇄</t>
  </si>
  <si>
    <t xml:space="preserve">SP05</t>
  </si>
  <si>
    <t xml:space="preserve">충전</t>
  </si>
  <si>
    <t xml:space="preserve">이번 턴 에너지 +N</t>
  </si>
  <si>
    <t xml:space="preserve">큰 카드 콤보</t>
  </si>
  <si>
    <t xml:space="preserve">SP06</t>
  </si>
  <si>
    <t xml:space="preserve">통찰</t>
  </si>
  <si>
    <t xml:space="preserve">즉시 N장 드로우 + 상대 손패 1장 공개</t>
  </si>
  <si>
    <t xml:space="preserve">정보전</t>
  </si>
  <si>
    <t xml:space="preserve">SP07</t>
  </si>
  <si>
    <t xml:space="preserve">탈진</t>
  </si>
  <si>
    <t xml:space="preserve">상대 이번 턴 공격 피해 −N%</t>
  </si>
  <si>
    <t xml:space="preserve">수호보다 약하고 쿨다운 짧음</t>
  </si>
  <si>
    <t xml:space="preserve">SP08</t>
  </si>
  <si>
    <t xml:space="preserve">스펠 ID: SP01~SP08(표 순서). 새 스펠은 다음 번호를 쓴다. 등록 후 변경 불가.</t>
  </si>
  <si>
    <t xml:space="preserve">피해 계산기</t>
  </si>
  <si>
    <t xml:space="preserve">피해 = ATK × 계수 × 타수 × (1+버프) × 100/(100+DEF×(1−관통)) × 치명 × 폭주 − 실드</t>
  </si>
  <si>
    <t xml:space="preserve">공격자</t>
  </si>
  <si>
    <t xml:space="preserve">방어자</t>
  </si>
  <si>
    <t xml:space="preserve">카드 ID</t>
  </si>
  <si>
    <t xml:space="preserve">버프 합(%)</t>
  </si>
  <si>
    <t xml:space="preserve">치명 여부</t>
  </si>
  <si>
    <t xml:space="preserve">아니오</t>
  </si>
  <si>
    <t xml:space="preserve">상대 실드</t>
  </si>
  <si>
    <t xml:space="preserve">공격자 ATK</t>
  </si>
  <si>
    <t xml:space="preserve">방어자 HP</t>
  </si>
  <si>
    <t xml:space="preserve">방어자 DEF</t>
  </si>
  <si>
    <t xml:space="preserve">카드 종류</t>
  </si>
  <si>
    <t xml:space="preserve">카드 계수</t>
  </si>
  <si>
    <t xml:space="preserve">폭주 배율</t>
  </si>
  <si>
    <t xml:space="preserve">방어 경감</t>
  </si>
  <si>
    <t xml:space="preserve">피해(실드 전)</t>
  </si>
  <si>
    <t xml:space="preserve">최종 피해</t>
  </si>
  <si>
    <t xml:space="preserve">방어자 HP 대비</t>
  </si>
  <si>
    <t xml:space="preserve">같은 피해로 처치까지(타)</t>
  </si>
  <si>
    <t xml:space="preserve">매트릭스: 강타(C02) 1회, 1턴, 버프·치명 없음 → 방어자 HP 대비 %</t>
  </si>
  <si>
    <t xml:space="preserve">공격자 ↓ / 방어자 →</t>
  </si>
  <si>
    <t xml:space="preserve">랭크 단계, 기준 MMR, 승점(RP)</t>
  </si>
  <si>
    <r>
      <rPr>
        <i val="true"/>
        <sz val="9"/>
        <color rgb="FF666666"/>
        <rFont val="Arial"/>
        <family val="0"/>
        <charset val="1"/>
      </rPr>
      <t xml:space="preserve">AI</t>
    </r>
    <r>
      <rPr>
        <i val="true"/>
        <sz val="9"/>
        <color rgb="FF666666"/>
        <rFont val="Noto Sans CJK SC"/>
        <family val="2"/>
      </rPr>
      <t xml:space="preserve">전 </t>
    </r>
    <r>
      <rPr>
        <i val="true"/>
        <sz val="9"/>
        <color rgb="FF666666"/>
        <rFont val="Arial"/>
        <family val="0"/>
        <charset val="1"/>
      </rPr>
      <t xml:space="preserve">RP = </t>
    </r>
    <r>
      <rPr>
        <i val="true"/>
        <sz val="9"/>
        <color rgb="FF666666"/>
        <rFont val="Noto Sans CJK SC"/>
        <family val="2"/>
      </rPr>
      <t xml:space="preserve">사람전 </t>
    </r>
    <r>
      <rPr>
        <i val="true"/>
        <sz val="9"/>
        <color rgb="FF666666"/>
        <rFont val="Arial"/>
        <family val="0"/>
        <charset val="1"/>
      </rPr>
      <t xml:space="preserve">RP × (1 − NN%). </t>
    </r>
    <r>
      <rPr>
        <i val="true"/>
        <sz val="9"/>
        <color rgb="FF666666"/>
        <rFont val="Noto Sans CJK SC"/>
        <family val="2"/>
      </rPr>
      <t xml:space="preserve">설정값 시트의 </t>
    </r>
    <r>
      <rPr>
        <i val="true"/>
        <sz val="9"/>
        <color rgb="FF666666"/>
        <rFont val="Arial"/>
        <family val="0"/>
        <charset val="1"/>
      </rPr>
      <t xml:space="preserve">NN%</t>
    </r>
    <r>
      <rPr>
        <i val="true"/>
        <sz val="9"/>
        <color rgb="FF666666"/>
        <rFont val="Noto Sans CJK SC"/>
        <family val="2"/>
      </rPr>
      <t xml:space="preserve">를 바꾸면 </t>
    </r>
    <r>
      <rPr>
        <i val="true"/>
        <sz val="9"/>
        <color rgb="FF666666"/>
        <rFont val="Arial"/>
        <family val="0"/>
        <charset val="1"/>
      </rPr>
      <t xml:space="preserve">G~J</t>
    </r>
    <r>
      <rPr>
        <i val="true"/>
        <sz val="9"/>
        <color rgb="FF666666"/>
        <rFont val="Noto Sans CJK SC"/>
        <family val="2"/>
      </rPr>
      <t xml:space="preserve">열이 다시 계산된다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</si>
  <si>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기준 MMR 시작</t>
  </si>
  <si>
    <t xml:space="preserve">단계당 MMR 증가</t>
  </si>
  <si>
    <t xml:space="preserve">순번</t>
  </si>
  <si>
    <t xml:space="preserve">누적 RP 시작</t>
  </si>
  <si>
    <t xml:space="preserve">기준 MMR</t>
  </si>
  <si>
    <t xml:space="preserve">패배 감소 배율</t>
  </si>
  <si>
    <t xml:space="preserve">하한선</t>
  </si>
  <si>
    <t xml:space="preserve">승리 RP(사람)</t>
  </si>
  <si>
    <t xml:space="preserve">승리 RP(AI)</t>
  </si>
  <si>
    <t xml:space="preserve">패배 RP(사람)</t>
  </si>
  <si>
    <t xml:space="preserve">패배 RP(AI)</t>
  </si>
  <si>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Noto Sans CJK SC"/>
        <family val="2"/>
      </rPr>
      <t xml:space="preserve">대체</t>
    </r>
  </si>
  <si>
    <t xml:space="preserve">리셋 후 시작 단계</t>
  </si>
  <si>
    <t xml:space="preserve">브론즈 III</t>
  </si>
  <si>
    <t xml:space="preserve">브론즈 II</t>
  </si>
  <si>
    <t xml:space="preserve">브론즈 I</t>
  </si>
  <si>
    <t xml:space="preserve">실버 III</t>
  </si>
  <si>
    <t xml:space="preserve">실버 II</t>
  </si>
  <si>
    <t xml:space="preserve">실버 I</t>
  </si>
  <si>
    <t xml:space="preserve">골드 III</t>
  </si>
  <si>
    <t xml:space="preserve">골드 II</t>
  </si>
  <si>
    <t xml:space="preserve">골드 I</t>
  </si>
  <si>
    <t xml:space="preserve">플래티넘 III</t>
  </si>
  <si>
    <t xml:space="preserve">플래티넘 II</t>
  </si>
  <si>
    <t xml:space="preserve">플래티넘 I</t>
  </si>
  <si>
    <t xml:space="preserve">다이아 III</t>
  </si>
  <si>
    <t xml:space="preserve">다이아 II</t>
  </si>
  <si>
    <t xml:space="preserve">다이아 I</t>
  </si>
  <si>
    <t xml:space="preserve">마스터</t>
  </si>
  <si>
    <t xml:space="preserve">레전드 = 마스터 중 시즌 RP 상위 N%(기본 10%), 인원 상한 100명(별도 순위, 백오피스에서 조정). 표의 RP는 MMR 보정·연승 보너스 0 기준.</t>
  </si>
  <si>
    <r>
      <rPr>
        <b val="true"/>
        <sz val="11"/>
        <rFont val="Arial"/>
        <family val="0"/>
        <charset val="1"/>
      </rPr>
      <t xml:space="preserve">RP </t>
    </r>
    <r>
      <rPr>
        <b val="true"/>
        <sz val="11"/>
        <rFont val="Noto Sans CJK SC"/>
        <family val="2"/>
      </rPr>
      <t xml:space="preserve">계산기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한 판 결과</t>
    </r>
    <r>
      <rPr>
        <b val="true"/>
        <sz val="11"/>
        <rFont val="Arial"/>
        <family val="0"/>
        <charset val="1"/>
      </rPr>
      <t xml:space="preserve">)</t>
    </r>
  </si>
  <si>
    <t xml:space="preserve">현재 단계</t>
  </si>
  <si>
    <t xml:space="preserve">내 숨은 MMR</t>
  </si>
  <si>
    <t xml:space="preserve">현재 연승 수(이번 판 전)</t>
  </si>
  <si>
    <r>
      <rPr>
        <sz val="11"/>
        <rFont val="Arial"/>
        <family val="0"/>
        <charset val="1"/>
      </rPr>
      <t xml:space="preserve">AI </t>
    </r>
    <r>
      <rPr>
        <sz val="11"/>
        <rFont val="Noto Sans CJK SC"/>
        <family val="2"/>
      </rPr>
      <t xml:space="preserve">랭킹전</t>
    </r>
    <r>
      <rPr>
        <sz val="11"/>
        <rFont val="Arial"/>
        <family val="0"/>
        <charset val="1"/>
      </rPr>
      <t xml:space="preserve">?</t>
    </r>
  </si>
  <si>
    <t xml:space="preserve">시즌 초반 배율 적용?</t>
  </si>
  <si>
    <t xml:space="preserve">오늘 AI 랭킹전 판수(이번 판 전)</t>
  </si>
  <si>
    <t xml:space="preserve">단계 기준 MMR</t>
  </si>
  <si>
    <r>
      <rPr>
        <sz val="11"/>
        <rFont val="Arial"/>
        <family val="0"/>
        <charset val="1"/>
      </rPr>
      <t xml:space="preserve">MMR </t>
    </r>
    <r>
      <rPr>
        <sz val="11"/>
        <rFont val="Noto Sans CJK SC"/>
        <family val="2"/>
      </rPr>
      <t xml:space="preserve">보정</t>
    </r>
    <r>
      <rPr>
        <sz val="11"/>
        <rFont val="Arial"/>
        <family val="0"/>
        <charset val="1"/>
      </rPr>
      <t xml:space="preserve">(RP)</t>
    </r>
  </si>
  <si>
    <t xml:space="preserve">연승 보너스(이번 판 이기면)</t>
  </si>
  <si>
    <r>
      <rPr>
        <sz val="11"/>
        <rFont val="Arial"/>
        <family val="0"/>
        <charset val="1"/>
      </rPr>
      <t xml:space="preserve">AI </t>
    </r>
    <r>
      <rPr>
        <sz val="11"/>
        <rFont val="Noto Sans CJK SC"/>
        <family val="2"/>
      </rPr>
      <t xml:space="preserve">배율</t>
    </r>
  </si>
  <si>
    <t xml:space="preserve">승리 시 RP</t>
  </si>
  <si>
    <t xml:space="preserve">패배 시 RP</t>
  </si>
  <si>
    <t xml:space="preserve">이탈 시 RP</t>
  </si>
  <si>
    <t xml:space="preserve">랭크를 올리는 이유: 티어별 보상·혜택</t>
  </si>
  <si>
    <t xml:space="preserve">시즌 보상은 '최고 도달 티어' 기준. 수량은 경제 설계 전 가정값.</t>
  </si>
  <si>
    <t xml:space="preserve">일일 첫 승 기본 골드</t>
  </si>
  <si>
    <t xml:space="preserve">티어</t>
  </si>
  <si>
    <t xml:space="preserve">시즌 골드</t>
  </si>
  <si>
    <t xml:space="preserve">시즌 한정 카드 프레임</t>
  </si>
  <si>
    <t xml:space="preserve">칭호</t>
  </si>
  <si>
    <t xml:space="preserve">일일 첫 승 배율</t>
  </si>
  <si>
    <t xml:space="preserve">일일 첫 승 골드</t>
  </si>
  <si>
    <t xml:space="preserve">프레임 연출 등급</t>
  </si>
  <si>
    <t xml:space="preserve">주말 챔피언스 컵</t>
  </si>
  <si>
    <t xml:space="preserve">신캐 선체험</t>
  </si>
  <si>
    <t xml:space="preserve">시즌 이벤트 스킨</t>
  </si>
  <si>
    <t xml:space="preserve">브론즈</t>
  </si>
  <si>
    <t xml:space="preserve">-</t>
  </si>
  <si>
    <t xml:space="preserve">불가</t>
  </si>
  <si>
    <t xml:space="preserve">실버</t>
  </si>
  <si>
    <t xml:space="preserve">실버 프레임</t>
  </si>
  <si>
    <t xml:space="preserve">0</t>
  </si>
  <si>
    <t xml:space="preserve">골드</t>
  </si>
  <si>
    <t xml:space="preserve">골드 프레임</t>
  </si>
  <si>
    <t xml:space="preserve">1 메탈 테두리</t>
  </si>
  <si>
    <t xml:space="preserve">플래티넘</t>
  </si>
  <si>
    <t xml:space="preserve">플래티넘 프레임</t>
  </si>
  <si>
    <t xml:space="preserve">시즌 칭호</t>
  </si>
  <si>
    <t xml:space="preserve">가능</t>
  </si>
  <si>
    <t xml:space="preserve">지급</t>
  </si>
  <si>
    <t xml:space="preserve">다이아</t>
  </si>
  <si>
    <t xml:space="preserve">다이아 프레임</t>
  </si>
  <si>
    <t xml:space="preserve">2 리버스 홀로</t>
  </si>
  <si>
    <t xml:space="preserve">마스터 프레임</t>
  </si>
  <si>
    <t xml:space="preserve">3 풀 홀로</t>
  </si>
  <si>
    <t xml:space="preserve">레전드</t>
  </si>
  <si>
    <t xml:space="preserve">레전드 프레임</t>
  </si>
  <si>
    <t xml:space="preserve">레전드 칭호 + 명예의 전당</t>
  </si>
  <si>
    <t xml:space="preserve">4 입체 시차 + 닉네임 색</t>
  </si>
  <si>
    <t xml:space="preserve">합계(브론즈→레전드 누적 시즌 골드, 참고)</t>
  </si>
  <si>
    <t xml:space="preserve">랭크 로드 1회 보상(각 단계 첫 도달)은 시즌마다 갱신(골드·감정표현·카드 뒷면). 시즌 패스는 없다(2026-10-23). 프레임 연출 등급은 상세 08과 같다.</t>
  </si>
  <si>
    <t xml:space="preserve">이탈 패널티 단계</t>
  </si>
  <si>
    <t xml:space="preserve">최근 N일 누적 이탈 횟수 기준. 정상 완료 M판마다 누적 1회 감면.</t>
  </si>
  <si>
    <t xml:space="preserve">누적 집계 기간(일)</t>
  </si>
  <si>
    <t xml:space="preserve">감면에 필요한 정상 완료 판수</t>
  </si>
  <si>
    <t xml:space="preserve">네트워크 면책(하루 횟수)</t>
  </si>
  <si>
    <t xml:space="preserve">재접속 유예(초)</t>
  </si>
  <si>
    <r>
      <rPr>
        <b val="true"/>
        <sz val="11"/>
        <rFont val="Arial"/>
        <family val="0"/>
        <charset val="1"/>
      </rPr>
      <t xml:space="preserve">AFK </t>
    </r>
    <r>
      <rPr>
        <b val="true"/>
        <sz val="11"/>
        <rFont val="Noto Sans CJK SC"/>
        <family val="2"/>
      </rPr>
      <t xml:space="preserve">판정 연속 무행동 턴</t>
    </r>
  </si>
  <si>
    <t xml:space="preserve">누적 이탈</t>
  </si>
  <si>
    <t xml:space="preserve">제재</t>
  </si>
  <si>
    <t xml:space="preserve">매칭 전 대기(분)</t>
  </si>
  <si>
    <t xml:space="preserve">적용 판수</t>
  </si>
  <si>
    <t xml:space="preserve">판 보상 배율</t>
  </si>
  <si>
    <t xml:space="preserve">랭킹전 잠금(시간)</t>
  </si>
  <si>
    <t xml:space="preserve">누적 0까지 필요한 정상 판수</t>
  </si>
  <si>
    <t xml:space="preserve">경고 팝업</t>
  </si>
  <si>
    <t xml:space="preserve">매칭 지연</t>
  </si>
  <si>
    <t xml:space="preserve">매칭 지연 + 보상 감소</t>
  </si>
  <si>
    <t xml:space="preserve">랭킹전 잠금</t>
  </si>
  <si>
    <t xml:space="preserve">랭킹전 잠금(5회 이상)</t>
  </si>
  <si>
    <t xml:space="preserve">이탈 1회 RP 손실 예시(골드 단계, 보정 0)</t>
  </si>
  <si>
    <t xml:space="preserve">닷지(밴픽 중 이탈) RP</t>
  </si>
  <si>
    <t xml:space="preserve">친구 비밀방·AI 대전(연습)은 미적용. AI 랭킹전 이탈은 사람 랭킹전과 같이 누적.</t>
  </si>
  <si>
    <t xml:space="preserve">출시 에셋 수량 (최소화 구조)</t>
  </si>
  <si>
    <t xml:space="preserve">캐릭터 수·스킨 수를 바꾸면 합계가 다시 계산된다. 보이스 제외.</t>
  </si>
  <si>
    <t xml:space="preserve">출시 캐릭터 수</t>
  </si>
  <si>
    <t xml:space="preserve">출시 스킨 수</t>
  </si>
  <si>
    <t xml:space="preserve">캐릭터·스킨당 PNG(전신 1 + 얼굴 1)</t>
  </si>
  <si>
    <t xml:space="preserve">분류</t>
  </si>
  <si>
    <t xml:space="preserve">수량</t>
  </si>
  <si>
    <t xml:space="preserve">비고</t>
  </si>
  <si>
    <t xml:space="preserve">캐릭터 일러스트</t>
  </si>
  <si>
    <t xml:space="preserve">전신 PNG + 얼굴 크롭컷</t>
  </si>
  <si>
    <t xml:space="preserve">캐릭터·스킨마다 추가되는 유일한 그림</t>
  </si>
  <si>
    <t xml:space="preserve">카드 키트</t>
  </si>
  <si>
    <t xml:space="preserve">진영 카드 배경</t>
  </si>
  <si>
    <t xml:space="preserve">불·물·바람</t>
  </si>
  <si>
    <t xml:space="preserve">중립 카드 배경</t>
  </si>
  <si>
    <t xml:space="preserve">공용 전투카드용</t>
  </si>
  <si>
    <t xml:space="preserve">등급 테두리</t>
  </si>
  <si>
    <t xml:space="preserve">일반·희귀·영웅·전설</t>
  </si>
  <si>
    <t xml:space="preserve">카드 종류 아이콘</t>
  </si>
  <si>
    <t xml:space="preserve">전투카드 틀</t>
  </si>
  <si>
    <t xml:space="preserve">카드 뒷면</t>
  </si>
  <si>
    <t xml:space="preserve">스킬 아이콘 프레임</t>
  </si>
  <si>
    <t xml:space="preserve">패시브·액티브</t>
  </si>
  <si>
    <t xml:space="preserve">상태 오버레이</t>
  </si>
  <si>
    <t xml:space="preserve">밴됨·잠긴 스킨·상대 선택</t>
  </si>
  <si>
    <t xml:space="preserve">아이콘</t>
  </si>
  <si>
    <t xml:space="preserve">상태 아이콘</t>
  </si>
  <si>
    <t xml:space="preserve">실드·침묵·면역·약화·공격 강화·작열·표식·손패 봉인·조류·스킬 봉쇄·에너지 감소</t>
  </si>
  <si>
    <t xml:space="preserve">스펠 아이콘</t>
  </si>
  <si>
    <t xml:space="preserve">티어 엠블럼</t>
  </si>
  <si>
    <t xml:space="preserve">브론즈~레전드</t>
  </si>
  <si>
    <t xml:space="preserve">재화 아이콘</t>
  </si>
  <si>
    <t xml:space="preserve">UI</t>
  </si>
  <si>
    <t xml:space="preserve">화면 레이아웃</t>
  </si>
  <si>
    <t xml:space="preserve">가로 1종</t>
  </si>
  <si>
    <t xml:space="preserve">배경</t>
  </si>
  <si>
    <t xml:space="preserve">로비·전투</t>
  </si>
  <si>
    <t xml:space="preserve">VFX</t>
  </si>
  <si>
    <t xml:space="preserve">카드 종류별 발동</t>
  </si>
  <si>
    <t xml:space="preserve">진영 색 틴트</t>
  </si>
  <si>
    <t xml:space="preserve">치명·회복·지속 피해</t>
  </si>
  <si>
    <t xml:space="preserve">컷인 템플릿·스펠 발동·폭주 진입</t>
  </si>
  <si>
    <t xml:space="preserve">승리·패배</t>
  </si>
  <si>
    <t xml:space="preserve">홀로 키트</t>
  </si>
  <si>
    <t xml:space="preserve">셰이더</t>
  </si>
  <si>
    <t xml:space="preserve">연출 등급 0~4 파라미터</t>
  </si>
  <si>
    <t xml:space="preserve">무지개 색상 텍스처</t>
  </si>
  <si>
    <t xml:space="preserve">진영 문양 포일</t>
  </si>
  <si>
    <t xml:space="preserve">스파클 노이즈</t>
  </si>
  <si>
    <t xml:space="preserve">사운드</t>
  </si>
  <si>
    <t xml:space="preserve">BGM</t>
  </si>
  <si>
    <t xml:space="preserve">로비·전투·폭주</t>
  </si>
  <si>
    <t xml:space="preserve">SFX</t>
  </si>
  <si>
    <t xml:space="preserve">합계</t>
  </si>
  <si>
    <t xml:space="preserve">그중 공용 키트(1회 제작)</t>
  </si>
  <si>
    <t xml:space="preserve">경제·재화 (골드 1종, 무과금 기준 하루 수입과 외형 획득 속도)</t>
  </si>
  <si>
    <t xml:space="preserve">재화는 골드뿐이고 플레이로만 얻는다(판매 안 함). 파란 글씨는 가정 입력값. 하루 8판·승률 50%·골드 티어 유저 기준.</t>
  </si>
  <si>
    <t xml:space="preserve">하루 판수(무과금 평균)</t>
  </si>
  <si>
    <t xml:space="preserve">랭킹전·AI 대전 합</t>
  </si>
  <si>
    <t xml:space="preserve">승률</t>
  </si>
  <si>
    <t xml:space="preserve">승리 골드</t>
  </si>
  <si>
    <t xml:space="preserve">골드/승</t>
  </si>
  <si>
    <t xml:space="preserve">하루 10승까지</t>
  </si>
  <si>
    <t xml:space="preserve">econ_win_gold</t>
  </si>
  <si>
    <t xml:space="preserve">승리 골드 하루 한도(승)</t>
  </si>
  <si>
    <t xml:space="preserve">승</t>
  </si>
  <si>
    <t xml:space="preserve">econ_win_daily_cap</t>
  </si>
  <si>
    <t xml:space="preserve">랭크보상 시트</t>
  </si>
  <si>
    <t xml:space="preserve">기준 티어 첫 승 배율</t>
  </si>
  <si>
    <t xml:space="preserve">골드 티어, 랭크보상 시트</t>
  </si>
  <si>
    <t xml:space="preserve">일일 미션 골드(3개 합)</t>
  </si>
  <si>
    <t xml:space="preserve">골드/일</t>
  </si>
  <si>
    <t xml:space="preserve">주간 미션 골드(5개 합)</t>
  </si>
  <si>
    <t xml:space="preserve">골드/주</t>
  </si>
  <si>
    <t xml:space="preserve">출석 골드(7일 합)</t>
  </si>
  <si>
    <t xml:space="preserve">econ_attend_week_sum</t>
  </si>
  <si>
    <t xml:space="preserve">출석 7일째 보너스 골드</t>
  </si>
  <si>
    <t xml:space="preserve">econ_attend_day7_bonus</t>
  </si>
  <si>
    <t xml:space="preserve">이벤트·업적 골드</t>
  </si>
  <si>
    <t xml:space="preserve">가정</t>
  </si>
  <si>
    <t xml:space="preserve">시즌 길이</t>
  </si>
  <si>
    <t xml:space="preserve">일</t>
  </si>
  <si>
    <t xml:space="preserve">season_days</t>
  </si>
  <si>
    <t xml:space="preserve">계산 결과</t>
  </si>
  <si>
    <t xml:space="preserve">하루 승리 수</t>
  </si>
  <si>
    <t xml:space="preserve">하루 골드 수입</t>
  </si>
  <si>
    <t xml:space="preserve">외형 상품 가격과 무과금 획득 소요일 (가격은 모두 가정, 확정 전)</t>
  </si>
  <si>
    <t xml:space="preserve">상품</t>
  </si>
  <si>
    <t xml:space="preserve">현금 가격(₩)</t>
  </si>
  <si>
    <t xml:space="preserve">골드 가격</t>
  </si>
  <si>
    <t xml:space="preserve">무과금 소요일</t>
  </si>
  <si>
    <t xml:space="preserve">일반 스킨</t>
  </si>
  <si>
    <t xml:space="preserve">출시 때 골드 판매 0종, 추가 시 캐릭터당 최대 1종</t>
  </si>
  <si>
    <t xml:space="preserve">고급 스킨(홀로 2)</t>
  </si>
  <si>
    <t xml:space="preserve">현금 전용</t>
  </si>
  <si>
    <t xml:space="preserve">한정 스킨(테마 배경+홀로)</t>
  </si>
  <si>
    <t xml:space="preserve">2주 한정, 현금 전용</t>
  </si>
  <si>
    <t xml:space="preserve">홀로 버전 업그레이드</t>
  </si>
  <si>
    <t xml:space="preserve">보유 스킨, 현금 전용</t>
  </si>
  <si>
    <t xml:space="preserve">카드 뒷면·프레임</t>
  </si>
  <si>
    <t xml:space="preserve">감정표현</t>
  </si>
  <si>
    <t xml:space="preserve">기본 4종은 무료</t>
  </si>
  <si>
    <t xml:space="preserve">닉네임 변경(2회째부터)</t>
  </si>
  <si>
    <t xml:space="preserve">골드 전용</t>
  </si>
  <si>
    <t xml:space="preserve">번들 할인율</t>
  </si>
  <si>
    <t xml:space="preserve">스킨 + 카드 뒷면 + 감정표현 묶음</t>
  </si>
  <si>
    <t xml:space="preserve">본편(Steam) 가격(₩)</t>
  </si>
  <si>
    <t xml:space="preserve">가정, 출시 직전 확정(총괄 11장)</t>
  </si>
  <si>
    <t xml:space="preserve">신규 캐릭터(출시 후, ₩)</t>
  </si>
  <si>
    <t xml:space="preserve">가정, 첫 캐릭터 출시 전 확정. 현금 전용</t>
  </si>
  <si>
    <t xml:space="preserve">누적 28일 출석 보상</t>
  </si>
  <si>
    <t xml:space="preserve">골드/1회</t>
  </si>
  <si>
    <t xml:space="preserve">누적 출석 28일째 1회만 지급(반복 안 함). 하루 수입 계산에 넣지 않는 장기 보상</t>
  </si>
  <si>
    <t xml:space="preserve">econ_attend_cum28_gold</t>
  </si>
  <si>
    <t xml:space="preserve">시즌 미션 골드(1개)</t>
  </si>
  <si>
    <t xml:space="preserve">골드/개</t>
  </si>
  <si>
    <t xml:space="preserve">시즌 미션 10개, 합 5,000/시즌. 하루 수입 계산에 넣지 않는 장기 보상(완주 시 약 +180/일)</t>
  </si>
  <si>
    <t xml:space="preserve">econ_season_mission_gold</t>
  </si>
  <si>
    <t xml:space="preserve">연습(AI 대전) 승리 골드</t>
  </si>
  <si>
    <t xml:space="preserve">하루 3판까지만 인정, 일일 첫 승 제외(총괄 8장 "소량")</t>
  </si>
  <si>
    <t xml:space="preserve">econ_practice_win_gold</t>
  </si>
  <si>
    <t xml:space="preserve">연습(AI 대전) 하루 인정 판수</t>
  </si>
  <si>
    <t xml:space="preserve">4판째부터 골드·미션 인정 안 함</t>
  </si>
  <si>
    <t xml:space="preserve">econ_practice_daily_games</t>
  </si>
  <si>
    <t xml:space="preserve">골드 상한 999,999, 우편 보관 30일(받은 우편도 30일간 목록에 "받음"으로 표시), 닉네임 첫 변경 무료·이후 4,000, 일일 갱신 05:00·주간 갱신 월요일 05:00(한국 시간)은 문서(상세 05·06)를 따른다.</t>
  </si>
  <si>
    <t xml:space="preserve">미션 표 (상세 05). 범위: ranked = 랭킹전·AI 랭킹전, ranked_ai = 랭킹전·AI 랭킹전 + AI 대전(하루 3판), friend = 친구방, any = 모든 모드</t>
  </si>
  <si>
    <t xml:space="preserve">이름</t>
  </si>
  <si>
    <t xml:space="preserve">조건 종류</t>
  </si>
  <si>
    <t xml:space="preserve">목표</t>
  </si>
  <si>
    <t xml:space="preserve">보조값</t>
  </si>
  <si>
    <t xml:space="preserve">범위</t>
  </si>
  <si>
    <t xml:space="preserve">일일</t>
  </si>
  <si>
    <t xml:space="preserve">D01</t>
  </si>
  <si>
    <r>
      <rPr>
        <sz val="11"/>
        <color rgb="FF0000FF"/>
        <rFont val="Noto Sans CJK SC"/>
        <family val="2"/>
      </rPr>
      <t xml:space="preserve">랭킹전 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Noto Sans CJK SC"/>
        <family val="2"/>
      </rPr>
      <t xml:space="preserve">판</t>
    </r>
  </si>
  <si>
    <t xml:space="preserve">games</t>
  </si>
  <si>
    <t xml:space="preserve">ranked</t>
  </si>
  <si>
    <t xml:space="preserve">D02</t>
  </si>
  <si>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Noto Sans CJK SC"/>
        <family val="2"/>
      </rPr>
      <t xml:space="preserve">승</t>
    </r>
  </si>
  <si>
    <t xml:space="preserve">wins</t>
  </si>
  <si>
    <t xml:space="preserve">ranked_ai</t>
  </si>
  <si>
    <t xml:space="preserve">D03</t>
  </si>
  <si>
    <r>
      <rPr>
        <sz val="11"/>
        <color rgb="FF0000FF"/>
        <rFont val="Noto Sans CJK SC"/>
        <family val="2"/>
      </rPr>
      <t xml:space="preserve">전용 카드 </t>
    </r>
    <r>
      <rPr>
        <sz val="11"/>
        <color rgb="FF0000FF"/>
        <rFont val="Arial"/>
        <family val="0"/>
        <charset val="1"/>
      </rPr>
      <t xml:space="preserve">5</t>
    </r>
    <r>
      <rPr>
        <sz val="11"/>
        <color rgb="FF0000FF"/>
        <rFont val="Noto Sans CJK SC"/>
        <family val="2"/>
      </rPr>
      <t xml:space="preserve">장 사용</t>
    </r>
  </si>
  <si>
    <t xml:space="preserve">signature_cards</t>
  </si>
  <si>
    <t xml:space="preserve">D04</t>
  </si>
  <si>
    <r>
      <rPr>
        <sz val="11"/>
        <color rgb="FF0000FF"/>
        <rFont val="Noto Sans CJK SC"/>
        <family val="2"/>
      </rPr>
      <t xml:space="preserve">스펠 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Noto Sans CJK SC"/>
        <family val="2"/>
      </rPr>
      <t xml:space="preserve">회 사용</t>
    </r>
  </si>
  <si>
    <t xml:space="preserve">spells</t>
  </si>
  <si>
    <t xml:space="preserve">D05</t>
  </si>
  <si>
    <r>
      <rPr>
        <sz val="11"/>
        <color rgb="FF0000FF"/>
        <rFont val="Arial"/>
        <family val="0"/>
        <charset val="1"/>
      </rPr>
      <t xml:space="preserve">4</t>
    </r>
    <r>
      <rPr>
        <sz val="11"/>
        <color rgb="FF0000FF"/>
        <rFont val="Noto Sans CJK SC"/>
        <family val="2"/>
      </rPr>
      <t xml:space="preserve">판 플레이</t>
    </r>
  </si>
  <si>
    <t xml:space="preserve">주간</t>
  </si>
  <si>
    <t xml:space="preserve">W01</t>
  </si>
  <si>
    <r>
      <rPr>
        <sz val="11"/>
        <color rgb="FF0000FF"/>
        <rFont val="Noto Sans CJK SC"/>
        <family val="2"/>
      </rPr>
      <t xml:space="preserve">랭킹전 </t>
    </r>
    <r>
      <rPr>
        <sz val="11"/>
        <color rgb="FF0000FF"/>
        <rFont val="Arial"/>
        <family val="0"/>
        <charset val="1"/>
      </rPr>
      <t xml:space="preserve">15</t>
    </r>
    <r>
      <rPr>
        <sz val="11"/>
        <color rgb="FF0000FF"/>
        <rFont val="Noto Sans CJK SC"/>
        <family val="2"/>
      </rPr>
      <t xml:space="preserve">판</t>
    </r>
  </si>
  <si>
    <t xml:space="preserve">W02</t>
  </si>
  <si>
    <r>
      <rPr>
        <sz val="11"/>
        <color rgb="FF0000FF"/>
        <rFont val="Noto Sans CJK SC"/>
        <family val="2"/>
      </rPr>
      <t xml:space="preserve">진영 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Noto Sans CJK SC"/>
        <family val="2"/>
      </rPr>
      <t xml:space="preserve">개 모두로 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Noto Sans CJK SC"/>
        <family val="2"/>
      </rPr>
      <t xml:space="preserve">승</t>
    </r>
  </si>
  <si>
    <t xml:space="preserve">faction_wins</t>
  </si>
  <si>
    <t xml:space="preserve">factions=3</t>
  </si>
  <si>
    <t xml:space="preserve">W03</t>
  </si>
  <si>
    <r>
      <rPr>
        <sz val="11"/>
        <color rgb="FF0000FF"/>
        <rFont val="Noto Sans CJK SC"/>
        <family val="2"/>
      </rPr>
      <t xml:space="preserve">친구와 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Noto Sans CJK SC"/>
        <family val="2"/>
      </rPr>
      <t xml:space="preserve">판</t>
    </r>
  </si>
  <si>
    <t xml:space="preserve">friend_games</t>
  </si>
  <si>
    <t xml:space="preserve">friend</t>
  </si>
  <si>
    <t xml:space="preserve">W04</t>
  </si>
  <si>
    <r>
      <rPr>
        <sz val="11"/>
        <color rgb="FF0000FF"/>
        <rFont val="Arial"/>
        <family val="0"/>
        <charset val="1"/>
      </rPr>
      <t xml:space="preserve">10</t>
    </r>
    <r>
      <rPr>
        <sz val="11"/>
        <color rgb="FF0000FF"/>
        <rFont val="Noto Sans CJK SC"/>
        <family val="2"/>
      </rPr>
      <t xml:space="preserve">승</t>
    </r>
  </si>
  <si>
    <t xml:space="preserve">W05</t>
  </si>
  <si>
    <r>
      <rPr>
        <sz val="11"/>
        <color rgb="FF0000FF"/>
        <rFont val="Noto Sans CJK SC"/>
        <family val="2"/>
      </rPr>
      <t xml:space="preserve">전용 카드 </t>
    </r>
    <r>
      <rPr>
        <sz val="11"/>
        <color rgb="FF0000FF"/>
        <rFont val="Arial"/>
        <family val="0"/>
        <charset val="1"/>
      </rPr>
      <t xml:space="preserve">30</t>
    </r>
    <r>
      <rPr>
        <sz val="11"/>
        <color rgb="FF0000FF"/>
        <rFont val="Noto Sans CJK SC"/>
        <family val="2"/>
      </rPr>
      <t xml:space="preserve">장 사용</t>
    </r>
  </si>
  <si>
    <t xml:space="preserve">시즌</t>
  </si>
  <si>
    <t xml:space="preserve">S01</t>
  </si>
  <si>
    <t xml:space="preserve">골드 티어 도달</t>
  </si>
  <si>
    <t xml:space="preserve">tier_reach</t>
  </si>
  <si>
    <t xml:space="preserve">tier=gold</t>
  </si>
  <si>
    <t xml:space="preserve">any</t>
  </si>
  <si>
    <t xml:space="preserve">S02</t>
  </si>
  <si>
    <r>
      <rPr>
        <sz val="11"/>
        <color rgb="FF0000FF"/>
        <rFont val="Noto Sans CJK SC"/>
        <family val="2"/>
      </rPr>
      <t xml:space="preserve">캐릭터 </t>
    </r>
    <r>
      <rPr>
        <sz val="11"/>
        <color rgb="FF0000FF"/>
        <rFont val="Arial"/>
        <family val="0"/>
        <charset val="1"/>
      </rPr>
      <t xml:space="preserve">5</t>
    </r>
    <r>
      <rPr>
        <sz val="11"/>
        <color rgb="FF0000FF"/>
        <rFont val="Noto Sans CJK SC"/>
        <family val="2"/>
      </rPr>
      <t xml:space="preserve">명으로 각 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Noto Sans CJK SC"/>
        <family val="2"/>
      </rPr>
      <t xml:space="preserve">승</t>
    </r>
  </si>
  <si>
    <t xml:space="preserve">char_wins</t>
  </si>
  <si>
    <t xml:space="preserve">chars=5</t>
  </si>
  <si>
    <t xml:space="preserve">S03</t>
  </si>
  <si>
    <r>
      <rPr>
        <sz val="11"/>
        <color rgb="FF0000FF"/>
        <rFont val="Arial"/>
        <family val="0"/>
        <charset val="1"/>
      </rPr>
      <t xml:space="preserve">30</t>
    </r>
    <r>
      <rPr>
        <sz val="11"/>
        <color rgb="FF0000FF"/>
        <rFont val="Noto Sans CJK SC"/>
        <family val="2"/>
      </rPr>
      <t xml:space="preserve">승</t>
    </r>
  </si>
  <si>
    <t xml:space="preserve">S04</t>
  </si>
  <si>
    <r>
      <rPr>
        <sz val="11"/>
        <color rgb="FF0000FF"/>
        <rFont val="Noto Sans CJK SC"/>
        <family val="2"/>
      </rPr>
      <t xml:space="preserve">랭킹전 </t>
    </r>
    <r>
      <rPr>
        <sz val="11"/>
        <color rgb="FF0000FF"/>
        <rFont val="Arial"/>
        <family val="0"/>
        <charset val="1"/>
      </rPr>
      <t xml:space="preserve">60</t>
    </r>
    <r>
      <rPr>
        <sz val="11"/>
        <color rgb="FF0000FF"/>
        <rFont val="Noto Sans CJK SC"/>
        <family val="2"/>
      </rPr>
      <t xml:space="preserve">판</t>
    </r>
  </si>
  <si>
    <t xml:space="preserve">S05</t>
  </si>
  <si>
    <r>
      <rPr>
        <sz val="11"/>
        <color rgb="FF0000FF"/>
        <rFont val="Noto Sans CJK SC"/>
        <family val="2"/>
      </rPr>
      <t xml:space="preserve">진영 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Noto Sans CJK SC"/>
        <family val="2"/>
      </rPr>
      <t xml:space="preserve">개 모두로 각 </t>
    </r>
    <r>
      <rPr>
        <sz val="11"/>
        <color rgb="FF0000FF"/>
        <rFont val="Arial"/>
        <family val="0"/>
        <charset val="1"/>
      </rPr>
      <t xml:space="preserve">5</t>
    </r>
    <r>
      <rPr>
        <sz val="11"/>
        <color rgb="FF0000FF"/>
        <rFont val="Noto Sans CJK SC"/>
        <family val="2"/>
      </rPr>
      <t xml:space="preserve">승</t>
    </r>
  </si>
  <si>
    <t xml:space="preserve">S06</t>
  </si>
  <si>
    <r>
      <rPr>
        <sz val="11"/>
        <color rgb="FF0000FF"/>
        <rFont val="Noto Sans CJK SC"/>
        <family val="2"/>
      </rPr>
      <t xml:space="preserve">친구와 </t>
    </r>
    <r>
      <rPr>
        <sz val="11"/>
        <color rgb="FF0000FF"/>
        <rFont val="Arial"/>
        <family val="0"/>
        <charset val="1"/>
      </rPr>
      <t xml:space="preserve">5</t>
    </r>
    <r>
      <rPr>
        <sz val="11"/>
        <color rgb="FF0000FF"/>
        <rFont val="Noto Sans CJK SC"/>
        <family val="2"/>
      </rPr>
      <t xml:space="preserve">판</t>
    </r>
  </si>
  <si>
    <t xml:space="preserve">S07</t>
  </si>
  <si>
    <r>
      <rPr>
        <sz val="11"/>
        <color rgb="FF0000FF"/>
        <rFont val="Noto Sans CJK SC"/>
        <family val="2"/>
      </rPr>
      <t xml:space="preserve">전용 카드 </t>
    </r>
    <r>
      <rPr>
        <sz val="11"/>
        <color rgb="FF0000FF"/>
        <rFont val="Arial"/>
        <family val="0"/>
        <charset val="1"/>
      </rPr>
      <t xml:space="preserve">100</t>
    </r>
    <r>
      <rPr>
        <sz val="11"/>
        <color rgb="FF0000FF"/>
        <rFont val="Noto Sans CJK SC"/>
        <family val="2"/>
      </rPr>
      <t xml:space="preserve">장 사용</t>
    </r>
  </si>
  <si>
    <t xml:space="preserve">S08</t>
  </si>
  <si>
    <r>
      <rPr>
        <sz val="11"/>
        <color rgb="FF0000FF"/>
        <rFont val="Noto Sans CJK SC"/>
        <family val="2"/>
      </rPr>
      <t xml:space="preserve">스펠 </t>
    </r>
    <r>
      <rPr>
        <sz val="11"/>
        <color rgb="FF0000FF"/>
        <rFont val="Arial"/>
        <family val="0"/>
        <charset val="1"/>
      </rPr>
      <t xml:space="preserve">60</t>
    </r>
    <r>
      <rPr>
        <sz val="11"/>
        <color rgb="FF0000FF"/>
        <rFont val="Noto Sans CJK SC"/>
        <family val="2"/>
      </rPr>
      <t xml:space="preserve">회 사용</t>
    </r>
  </si>
  <si>
    <t xml:space="preserve">S09</t>
  </si>
  <si>
    <r>
      <rPr>
        <sz val="11"/>
        <color rgb="FF0000FF"/>
        <rFont val="Noto Sans CJK SC"/>
        <family val="2"/>
      </rPr>
      <t xml:space="preserve">캐릭터 </t>
    </r>
    <r>
      <rPr>
        <sz val="11"/>
        <color rgb="FF0000FF"/>
        <rFont val="Arial"/>
        <family val="0"/>
        <charset val="1"/>
      </rPr>
      <t xml:space="preserve">9</t>
    </r>
    <r>
      <rPr>
        <sz val="11"/>
        <color rgb="FF0000FF"/>
        <rFont val="Noto Sans CJK SC"/>
        <family val="2"/>
      </rPr>
      <t xml:space="preserve">명으로 각 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Noto Sans CJK SC"/>
        <family val="2"/>
      </rPr>
      <t xml:space="preserve">승</t>
    </r>
  </si>
  <si>
    <t xml:space="preserve">chars=9</t>
  </si>
  <si>
    <t xml:space="preserve">S10</t>
  </si>
  <si>
    <t xml:space="preserve">플래티넘 도달</t>
  </si>
  <si>
    <t xml:space="preserve">tier=platinum</t>
  </si>
  <si>
    <t xml:space="preserve">일일 미션 3개 합(검산)</t>
  </si>
  <si>
    <t xml:space="preserve">주간 미션 5개 합(검산)</t>
  </si>
  <si>
    <t xml:space="preserve">시즌 미션 10개 합(검산)</t>
  </si>
  <si>
    <t xml:space="preserve">추천덱 (캐릭터 9 × 유형 3, 공용 카드 장수)</t>
  </si>
  <si>
    <t xml:space="preserve">파란 숫자 = 공용 카드 장수. 전용 2장은 모든 덱에 고정이라 제외. 합계 10, 같은 카드 최대 2가 아니면 점검 칸이 NG로 바뀐다. 공격 합계(전용 포함)는 공용 공격 장수 + 전용 공격 카드 수이고, 범위는 공세 6~7 · 균형 4~5 · 수비 2~3(상세 15).</t>
  </si>
  <si>
    <t xml:space="preserve">유형</t>
  </si>
  <si>
    <t xml:space="preserve">C01 베기</t>
  </si>
  <si>
    <t xml:space="preserve">C02 강타</t>
  </si>
  <si>
    <t xml:space="preserve">C03 연속 찌르기</t>
  </si>
  <si>
    <t xml:space="preserve">C04 관통 일격</t>
  </si>
  <si>
    <t xml:space="preserve">C05 막기</t>
  </si>
  <si>
    <t xml:space="preserve">C06 철벽</t>
  </si>
  <si>
    <t xml:space="preserve">C07 받아치기</t>
  </si>
  <si>
    <t xml:space="preserve">C08 봉인</t>
  </si>
  <si>
    <t xml:space="preserve">C09 쉿</t>
  </si>
  <si>
    <t xml:space="preserve">C10 정신 집중</t>
  </si>
  <si>
    <t xml:space="preserve">C11 신성 결계</t>
  </si>
  <si>
    <t xml:space="preserve">C12 약화</t>
  </si>
  <si>
    <t xml:space="preserve">C13 응급 처치</t>
  </si>
  <si>
    <t xml:space="preserve">C14 집중</t>
  </si>
  <si>
    <t xml:space="preserve">C15 전술 드로우</t>
  </si>
  <si>
    <t xml:space="preserve">C16 분노</t>
  </si>
  <si>
    <t xml:space="preserve">평균 비용</t>
  </si>
  <si>
    <t xml:space="preserve">공격 장수(공용)</t>
  </si>
  <si>
    <t xml:space="preserve">1E 장수</t>
  </si>
  <si>
    <t xml:space="preserve">점검</t>
  </si>
  <si>
    <t xml:space="preserve">공격 합계(전용 포함)</t>
  </si>
  <si>
    <t xml:space="preserve">공격 범위</t>
  </si>
  <si>
    <t xml:space="preserve">공세</t>
  </si>
  <si>
    <t xml:space="preserve">균형</t>
  </si>
  <si>
    <t xml:space="preserve">수비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</si>
</sst>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0%"/>
    <numFmt numFmtId="167" formatCode="0.0"/>
    <numFmt numFmtId="168" formatCode="General"/>
    <numFmt numFmtId="169" formatCode="\+0.0%;\-0.0%;0.0%"/>
    <numFmt numFmtId="170" formatCode="0.00"/>
    <numFmt numFmtId="171" formatCode="0.000"/>
    <numFmt numFmtId="172" formatCode="0.0%"/>
    <numFmt numFmtId="173" formatCode="#,##0"/>
    <numFmt numFmtId="174" formatCode="\+0;\-0;0"/>
    <numFmt numFmtId="175" formatCode="#,##0.0"/>
    <numFmt numFmtId="176" formatCode="\₩#,##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  <charset val="1"/>
    </font>
    <font>
      <i val="true"/>
      <sz val="9"/>
      <color rgb="FF666666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sz val="11"/>
      <name val="Noto Sans CJK SC"/>
      <family val="2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name val="Noto Sans CJK SC"/>
      <family val="2"/>
      <charset val="1"/>
    </font>
    <font>
      <sz val="11"/>
      <color rgb="FF008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666666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b val="true"/>
      <sz val="11"/>
      <name val="Arial"/>
      <family val="0"/>
      <charset val="1"/>
    </font>
    <font>
      <sz val="11"/>
      <color rgb="FF0000FF"/>
      <name val="Noto Sans CJK SC"/>
      <family val="2"/>
      <charset val="1"/>
    </font>
    <font>
      <b val="true"/>
      <sz val="11"/>
      <name val="Noto Sans CJK SC"/>
      <family val="2"/>
    </font>
    <font>
      <sz val="11"/>
      <color rgb="FF0000FF"/>
      <name val="Noto Sans CJK SC"/>
      <family val="2"/>
    </font>
    <font>
      <sz val="11"/>
      <color theme="1"/>
      <name val="Noto Sans CJK SC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44546A"/>
        <bgColor rgb="FF6666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4454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2"/>
    <col collapsed="false" customWidth="true" hidden="false" outlineLevel="0" max="4" min="4" style="1" width="60"/>
    <col collapsed="false" customWidth="true" hidden="false" outlineLevel="0" max="5" min="5" style="1" width="24"/>
  </cols>
  <sheetData>
    <row r="1" customFormat="false" ht="21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6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customFormat="false" ht="16.5" hidden="false" customHeight="true" outlineLevel="0" collapsed="false">
      <c r="A4" s="5" t="s">
        <v>7</v>
      </c>
      <c r="B4" s="6" t="n">
        <v>30</v>
      </c>
      <c r="C4" s="5" t="s">
        <v>8</v>
      </c>
      <c r="D4" s="5" t="s">
        <v>9</v>
      </c>
      <c r="E4" s="5" t="s">
        <v>10</v>
      </c>
    </row>
    <row r="5" customFormat="false" ht="16.5" hidden="false" customHeight="true" outlineLevel="0" collapsed="false">
      <c r="A5" s="7" t="s">
        <v>11</v>
      </c>
      <c r="B5" s="8" t="n">
        <v>0.4</v>
      </c>
      <c r="C5" s="7" t="s">
        <v>12</v>
      </c>
      <c r="D5" s="7" t="s">
        <v>13</v>
      </c>
      <c r="E5" s="7" t="s">
        <v>14</v>
      </c>
    </row>
    <row r="6" customFormat="false" ht="16.5" hidden="false" customHeight="true" outlineLevel="0" collapsed="false">
      <c r="A6" s="7" t="s">
        <v>15</v>
      </c>
      <c r="B6" s="9" t="n">
        <v>5</v>
      </c>
      <c r="C6" s="5" t="s">
        <v>16</v>
      </c>
      <c r="D6" s="5" t="s">
        <v>17</v>
      </c>
      <c r="E6" s="5" t="s">
        <v>18</v>
      </c>
    </row>
    <row r="7" customFormat="false" ht="16.5" hidden="false" customHeight="true" outlineLevel="0" collapsed="false">
      <c r="A7" s="7" t="s">
        <v>19</v>
      </c>
      <c r="B7" s="9" t="n">
        <v>13</v>
      </c>
      <c r="C7" s="5" t="s">
        <v>20</v>
      </c>
      <c r="D7" s="7" t="s">
        <v>21</v>
      </c>
      <c r="E7" s="7" t="s">
        <v>22</v>
      </c>
    </row>
    <row r="8" customFormat="false" ht="15" hidden="false" customHeight="true" outlineLevel="0" collapsed="false">
      <c r="A8" s="5" t="s">
        <v>23</v>
      </c>
      <c r="B8" s="9" t="n">
        <v>20</v>
      </c>
      <c r="C8" s="5" t="s">
        <v>8</v>
      </c>
      <c r="D8" s="5" t="s">
        <v>24</v>
      </c>
      <c r="E8" s="5" t="s">
        <v>25</v>
      </c>
    </row>
    <row r="9" customFormat="false" ht="16.5" hidden="false" customHeight="true" outlineLevel="0" collapsed="false">
      <c r="A9" s="5" t="s">
        <v>26</v>
      </c>
      <c r="B9" s="9" t="n">
        <v>15</v>
      </c>
      <c r="C9" s="5" t="s">
        <v>8</v>
      </c>
      <c r="D9" s="5"/>
      <c r="E9" s="5" t="s">
        <v>27</v>
      </c>
    </row>
    <row r="10" customFormat="false" ht="15" hidden="false" customHeight="true" outlineLevel="0" collapsed="false">
      <c r="A10" s="5" t="s">
        <v>28</v>
      </c>
      <c r="B10" s="9" t="n">
        <v>10</v>
      </c>
      <c r="C10" s="5" t="s">
        <v>29</v>
      </c>
      <c r="D10" s="5"/>
      <c r="E10" s="5" t="s">
        <v>30</v>
      </c>
    </row>
    <row r="11" customFormat="false" ht="15" hidden="false" customHeight="true" outlineLevel="0" collapsed="false">
      <c r="A11" s="5" t="s">
        <v>31</v>
      </c>
      <c r="B11" s="9" t="n">
        <v>7</v>
      </c>
      <c r="C11" s="5" t="s">
        <v>29</v>
      </c>
      <c r="D11" s="5"/>
      <c r="E11" s="5" t="s">
        <v>32</v>
      </c>
    </row>
    <row r="12" customFormat="false" ht="16.5" hidden="false" customHeight="true" outlineLevel="0" collapsed="false">
      <c r="A12" s="5" t="s">
        <v>33</v>
      </c>
      <c r="B12" s="10" t="n">
        <v>0.25</v>
      </c>
      <c r="C12" s="7" t="s">
        <v>12</v>
      </c>
      <c r="D12" s="7" t="s">
        <v>34</v>
      </c>
      <c r="E12" s="7" t="s">
        <v>35</v>
      </c>
    </row>
    <row r="13" customFormat="false" ht="15" hidden="false" customHeight="true" outlineLevel="0" collapsed="false">
      <c r="A13" s="5" t="s">
        <v>36</v>
      </c>
      <c r="B13" s="10" t="n">
        <v>0.5</v>
      </c>
      <c r="C13" s="7" t="s">
        <v>12</v>
      </c>
      <c r="D13" s="5"/>
      <c r="E13" s="5" t="s">
        <v>37</v>
      </c>
    </row>
    <row r="14" customFormat="false" ht="16.5" hidden="false" customHeight="true" outlineLevel="0" collapsed="false">
      <c r="A14" s="5" t="s">
        <v>38</v>
      </c>
      <c r="B14" s="9" t="n">
        <v>25</v>
      </c>
      <c r="C14" s="7" t="s">
        <v>39</v>
      </c>
      <c r="D14" s="5"/>
      <c r="E14" s="5" t="s">
        <v>40</v>
      </c>
    </row>
    <row r="15" customFormat="false" ht="16.5" hidden="false" customHeight="true" outlineLevel="0" collapsed="false">
      <c r="A15" s="5" t="s">
        <v>41</v>
      </c>
      <c r="B15" s="9" t="n">
        <v>20</v>
      </c>
      <c r="C15" s="7" t="s">
        <v>39</v>
      </c>
      <c r="D15" s="5" t="s">
        <v>42</v>
      </c>
      <c r="E15" s="5" t="s">
        <v>43</v>
      </c>
    </row>
    <row r="16" customFormat="false" ht="16.5" hidden="false" customHeight="true" outlineLevel="0" collapsed="false">
      <c r="A16" s="7" t="s">
        <v>44</v>
      </c>
      <c r="B16" s="9" t="n">
        <v>8</v>
      </c>
      <c r="C16" s="7" t="s">
        <v>39</v>
      </c>
      <c r="D16" s="7" t="s">
        <v>45</v>
      </c>
      <c r="E16" s="7" t="s">
        <v>46</v>
      </c>
    </row>
    <row r="17" customFormat="false" ht="16.5" hidden="false" customHeight="true" outlineLevel="0" collapsed="false">
      <c r="A17" s="7" t="s">
        <v>47</v>
      </c>
      <c r="B17" s="9" t="n">
        <v>20</v>
      </c>
      <c r="C17" s="7" t="s">
        <v>48</v>
      </c>
      <c r="D17" s="7" t="s">
        <v>49</v>
      </c>
      <c r="E17" s="7" t="s">
        <v>50</v>
      </c>
    </row>
    <row r="18" customFormat="false" ht="16.5" hidden="false" customHeight="true" outlineLevel="0" collapsed="false">
      <c r="A18" s="5" t="s">
        <v>51</v>
      </c>
      <c r="B18" s="9" t="n">
        <v>3</v>
      </c>
      <c r="C18" s="5" t="s">
        <v>52</v>
      </c>
      <c r="D18" s="5"/>
      <c r="E18" s="5" t="s">
        <v>53</v>
      </c>
    </row>
    <row r="19" customFormat="false" ht="16.5" hidden="false" customHeight="true" outlineLevel="0" collapsed="false">
      <c r="A19" s="5" t="s">
        <v>54</v>
      </c>
      <c r="B19" s="9" t="n">
        <v>5</v>
      </c>
      <c r="C19" s="7" t="s">
        <v>39</v>
      </c>
      <c r="D19" s="5"/>
      <c r="E19" s="5" t="s">
        <v>55</v>
      </c>
    </row>
    <row r="20" customFormat="false" ht="15" hidden="false" customHeight="true" outlineLevel="0" collapsed="false">
      <c r="A20" s="5" t="s">
        <v>56</v>
      </c>
      <c r="B20" s="9" t="n">
        <v>10</v>
      </c>
      <c r="C20" s="7" t="s">
        <v>39</v>
      </c>
      <c r="D20" s="5"/>
      <c r="E20" s="5" t="s">
        <v>57</v>
      </c>
    </row>
    <row r="21" customFormat="false" ht="16.5" hidden="false" customHeight="true" outlineLevel="0" collapsed="false">
      <c r="A21" s="5" t="s">
        <v>58</v>
      </c>
      <c r="B21" s="9" t="n">
        <v>10</v>
      </c>
      <c r="C21" s="7" t="s">
        <v>39</v>
      </c>
      <c r="D21" s="5" t="s">
        <v>59</v>
      </c>
      <c r="E21" s="5" t="s">
        <v>60</v>
      </c>
    </row>
    <row r="22" customFormat="false" ht="16.5" hidden="false" customHeight="true" outlineLevel="0" collapsed="false">
      <c r="A22" s="5" t="s">
        <v>61</v>
      </c>
      <c r="B22" s="9" t="n">
        <v>5</v>
      </c>
      <c r="C22" s="7" t="s">
        <v>39</v>
      </c>
      <c r="D22" s="5" t="s">
        <v>62</v>
      </c>
      <c r="E22" s="5" t="s">
        <v>63</v>
      </c>
    </row>
    <row r="23" customFormat="false" ht="15" hidden="false" customHeight="true" outlineLevel="0" collapsed="false">
      <c r="A23" s="5" t="s">
        <v>64</v>
      </c>
      <c r="B23" s="9" t="n">
        <v>4</v>
      </c>
      <c r="C23" s="5" t="s">
        <v>65</v>
      </c>
      <c r="D23" s="5"/>
      <c r="E23" s="5" t="s">
        <v>66</v>
      </c>
    </row>
    <row r="24" customFormat="false" ht="15" hidden="false" customHeight="true" outlineLevel="0" collapsed="false">
      <c r="A24" s="5" t="s">
        <v>67</v>
      </c>
      <c r="B24" s="11" t="n">
        <v>1.5</v>
      </c>
      <c r="C24" s="5" t="s">
        <v>68</v>
      </c>
      <c r="D24" s="5" t="s">
        <v>69</v>
      </c>
      <c r="E24" s="5" t="s">
        <v>70</v>
      </c>
    </row>
    <row r="25" customFormat="false" ht="16.5" hidden="false" customHeight="true" outlineLevel="0" collapsed="false">
      <c r="A25" s="5" t="s">
        <v>71</v>
      </c>
      <c r="B25" s="9" t="n">
        <v>100</v>
      </c>
      <c r="C25" s="7" t="s">
        <v>39</v>
      </c>
      <c r="D25" s="5"/>
      <c r="E25" s="5" t="s">
        <v>72</v>
      </c>
    </row>
    <row r="26" customFormat="false" ht="15" hidden="false" customHeight="true" outlineLevel="0" collapsed="false">
      <c r="A26" s="5" t="s">
        <v>73</v>
      </c>
      <c r="B26" s="11" t="n">
        <v>1.5</v>
      </c>
      <c r="C26" s="5" t="s">
        <v>68</v>
      </c>
      <c r="D26" s="5"/>
      <c r="E26" s="5" t="s">
        <v>74</v>
      </c>
    </row>
    <row r="27" customFormat="false" ht="15" hidden="false" customHeight="true" outlineLevel="0" collapsed="false">
      <c r="A27" s="5" t="s">
        <v>75</v>
      </c>
      <c r="B27" s="9" t="n">
        <v>280</v>
      </c>
      <c r="C27" s="5" t="s">
        <v>76</v>
      </c>
      <c r="D27" s="5" t="s">
        <v>77</v>
      </c>
      <c r="E27" s="5" t="s">
        <v>78</v>
      </c>
    </row>
    <row r="28" customFormat="false" ht="15" hidden="false" customHeight="true" outlineLevel="0" collapsed="false">
      <c r="A28" s="5" t="s">
        <v>79</v>
      </c>
      <c r="B28" s="10" t="n">
        <v>0.03</v>
      </c>
      <c r="C28" s="7" t="s">
        <v>12</v>
      </c>
      <c r="D28" s="5"/>
      <c r="E28" s="5" t="s">
        <v>80</v>
      </c>
    </row>
    <row r="29" customFormat="false" ht="15" hidden="false" customHeight="true" outlineLevel="0" collapsed="false">
      <c r="A29" s="5" t="s">
        <v>81</v>
      </c>
      <c r="B29" s="9" t="n">
        <v>60</v>
      </c>
      <c r="C29" s="5" t="s">
        <v>8</v>
      </c>
      <c r="D29" s="5"/>
      <c r="E29" s="5" t="s">
        <v>82</v>
      </c>
    </row>
    <row r="30" customFormat="false" ht="16.5" hidden="false" customHeight="true" outlineLevel="0" collapsed="false">
      <c r="A30" s="5" t="s">
        <v>83</v>
      </c>
      <c r="B30" s="8" t="n">
        <v>0.1</v>
      </c>
      <c r="C30" s="7" t="s">
        <v>12</v>
      </c>
      <c r="D30" s="5" t="s">
        <v>84</v>
      </c>
      <c r="E30" s="5" t="s">
        <v>85</v>
      </c>
    </row>
    <row r="31" customFormat="false" ht="16.5" hidden="false" customHeight="true" outlineLevel="0" collapsed="false">
      <c r="A31" s="5" t="s">
        <v>86</v>
      </c>
      <c r="B31" s="9" t="n">
        <v>100</v>
      </c>
      <c r="C31" s="5" t="s">
        <v>87</v>
      </c>
      <c r="D31" s="5" t="s">
        <v>88</v>
      </c>
      <c r="E31" s="5" t="s">
        <v>89</v>
      </c>
    </row>
    <row r="32" customFormat="false" ht="16.5" hidden="false" customHeight="true" outlineLevel="0" collapsed="false">
      <c r="A32" s="5" t="s">
        <v>90</v>
      </c>
      <c r="B32" s="9" t="n">
        <v>1</v>
      </c>
      <c r="C32" s="5" t="s">
        <v>91</v>
      </c>
      <c r="D32" s="5" t="s">
        <v>92</v>
      </c>
      <c r="E32" s="5" t="s">
        <v>93</v>
      </c>
    </row>
    <row r="33" customFormat="false" ht="16.5" hidden="false" customHeight="true" outlineLevel="0" collapsed="false">
      <c r="A33" s="5" t="s">
        <v>94</v>
      </c>
      <c r="B33" s="9" t="n">
        <v>10</v>
      </c>
      <c r="C33" s="5" t="s">
        <v>8</v>
      </c>
      <c r="D33" s="5" t="s">
        <v>95</v>
      </c>
      <c r="E33" s="5" t="s">
        <v>96</v>
      </c>
    </row>
    <row r="34" customFormat="false" ht="15" hidden="false" customHeight="true" outlineLevel="0" collapsed="false">
      <c r="A34" s="5" t="s">
        <v>97</v>
      </c>
      <c r="B34" s="9" t="n">
        <v>15</v>
      </c>
      <c r="C34" s="5" t="s">
        <v>8</v>
      </c>
      <c r="D34" s="5" t="s">
        <v>98</v>
      </c>
      <c r="E34" s="5" t="s">
        <v>99</v>
      </c>
    </row>
    <row r="35" customFormat="false" ht="16.5" hidden="false" customHeight="true" outlineLevel="0" collapsed="false">
      <c r="A35" s="5" t="s">
        <v>100</v>
      </c>
      <c r="B35" s="9" t="n">
        <v>15</v>
      </c>
      <c r="C35" s="5" t="s">
        <v>8</v>
      </c>
      <c r="D35" s="5" t="s">
        <v>101</v>
      </c>
      <c r="E35" s="5" t="s">
        <v>102</v>
      </c>
    </row>
    <row r="36" customFormat="false" ht="16.5" hidden="false" customHeight="true" outlineLevel="0" collapsed="false">
      <c r="A36" s="5" t="s">
        <v>103</v>
      </c>
      <c r="B36" s="9" t="n">
        <v>32</v>
      </c>
      <c r="C36" s="5" t="s">
        <v>104</v>
      </c>
      <c r="D36" s="5" t="s">
        <v>105</v>
      </c>
      <c r="E36" s="5" t="s">
        <v>106</v>
      </c>
    </row>
    <row r="37" customFormat="false" ht="15" hidden="false" customHeight="true" outlineLevel="0" collapsed="false">
      <c r="A37" s="5" t="s">
        <v>107</v>
      </c>
      <c r="B37" s="9" t="n">
        <v>0.15</v>
      </c>
      <c r="C37" s="5" t="s">
        <v>12</v>
      </c>
      <c r="D37" s="5" t="s">
        <v>108</v>
      </c>
      <c r="E37" s="5" t="s">
        <v>109</v>
      </c>
    </row>
    <row r="38" customFormat="false" ht="16.5" hidden="false" customHeight="true" outlineLevel="0" collapsed="false">
      <c r="A38" s="5" t="s">
        <v>110</v>
      </c>
      <c r="B38" s="9" t="n">
        <v>0.05</v>
      </c>
      <c r="C38" s="5" t="s">
        <v>12</v>
      </c>
      <c r="D38" s="5" t="s">
        <v>111</v>
      </c>
      <c r="E38" s="5" t="s">
        <v>112</v>
      </c>
    </row>
    <row r="40" customFormat="false" ht="15" hidden="false" customHeight="true" outlineLevel="0" collapsed="false">
      <c r="A40" s="3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6" min="2" style="1" width="11"/>
  </cols>
  <sheetData>
    <row r="1" customFormat="false" ht="21" hidden="false" customHeight="true" outlineLevel="0" collapsed="false">
      <c r="A1" s="2" t="s">
        <v>114</v>
      </c>
    </row>
    <row r="2" customFormat="false" ht="15" hidden="false" customHeight="true" outlineLevel="0" collapsed="false">
      <c r="A2" s="3" t="s">
        <v>115</v>
      </c>
    </row>
    <row r="3" customFormat="false" ht="31.5" hidden="false" customHeight="true" outlineLevel="0" collapsed="false">
      <c r="A3" s="4" t="s">
        <v>116</v>
      </c>
      <c r="B3" s="4" t="s">
        <v>117</v>
      </c>
      <c r="C3" s="4" t="s">
        <v>118</v>
      </c>
      <c r="D3" s="4" t="s">
        <v>119</v>
      </c>
      <c r="E3" s="4" t="s">
        <v>120</v>
      </c>
      <c r="F3" s="4" t="s">
        <v>121</v>
      </c>
      <c r="G3" s="4" t="s">
        <v>122</v>
      </c>
      <c r="H3" s="4" t="s">
        <v>123</v>
      </c>
      <c r="I3" s="4" t="s">
        <v>124</v>
      </c>
      <c r="J3" s="4" t="s">
        <v>125</v>
      </c>
      <c r="K3" s="4" t="s">
        <v>126</v>
      </c>
      <c r="L3" s="4" t="s">
        <v>127</v>
      </c>
      <c r="M3" s="4" t="s">
        <v>128</v>
      </c>
      <c r="N3" s="4" t="s">
        <v>129</v>
      </c>
      <c r="O3" s="4" t="s">
        <v>130</v>
      </c>
      <c r="P3" s="12" t="s">
        <v>131</v>
      </c>
    </row>
    <row r="4" customFormat="false" ht="15" hidden="false" customHeight="true" outlineLevel="0" collapsed="false">
      <c r="A4" s="13" t="s">
        <v>132</v>
      </c>
      <c r="B4" s="14" t="n">
        <v>10</v>
      </c>
      <c r="C4" s="14" t="n">
        <v>6</v>
      </c>
      <c r="D4" s="14" t="n">
        <v>8</v>
      </c>
      <c r="E4" s="14" t="n">
        <v>8</v>
      </c>
      <c r="F4" s="14" t="n">
        <v>5</v>
      </c>
      <c r="G4" s="14" t="n">
        <v>5</v>
      </c>
      <c r="H4" s="14" t="n">
        <v>10</v>
      </c>
      <c r="I4" s="14" t="n">
        <v>6</v>
      </c>
      <c r="J4" s="14" t="n">
        <v>0</v>
      </c>
      <c r="K4" s="14" t="n">
        <v>15</v>
      </c>
      <c r="L4" s="15" t="n">
        <f aca="false">G4*(H4+I4)+J4</f>
        <v>80</v>
      </c>
      <c r="M4" s="16" t="n">
        <f aca="false">L4/60</f>
        <v>1.33333333333333</v>
      </c>
      <c r="N4" s="15" t="n">
        <f aca="false">B4+C4+D4+E4+F4+L4+K4</f>
        <v>132</v>
      </c>
      <c r="O4" s="16" t="n">
        <f aca="false">N4/60</f>
        <v>2.2</v>
      </c>
      <c r="P4" s="5" t="str">
        <f aca="false">IF(AND(O4&gt;=3,O4&lt;=5),"예",IF(O4&lt;3,"짧음","김"))</f>
        <v>짧음</v>
      </c>
    </row>
    <row r="5" customFormat="false" ht="15" hidden="false" customHeight="true" outlineLevel="0" collapsed="false">
      <c r="A5" s="13" t="s">
        <v>133</v>
      </c>
      <c r="B5" s="14" t="n">
        <v>20</v>
      </c>
      <c r="C5" s="14" t="n">
        <v>10</v>
      </c>
      <c r="D5" s="14" t="n">
        <v>15</v>
      </c>
      <c r="E5" s="14" t="n">
        <v>15</v>
      </c>
      <c r="F5" s="14" t="n">
        <v>5</v>
      </c>
      <c r="G5" s="14" t="n">
        <v>7</v>
      </c>
      <c r="H5" s="14" t="n">
        <v>15</v>
      </c>
      <c r="I5" s="14" t="n">
        <v>7</v>
      </c>
      <c r="J5" s="14" t="n">
        <v>0</v>
      </c>
      <c r="K5" s="14" t="n">
        <v>15</v>
      </c>
      <c r="L5" s="15" t="n">
        <f aca="false">G5*(H5+I5)+J5</f>
        <v>154</v>
      </c>
      <c r="M5" s="16" t="n">
        <f aca="false">L5/60</f>
        <v>2.56666666666667</v>
      </c>
      <c r="N5" s="15" t="n">
        <f aca="false">B5+C5+D5+E5+F5+L5+K5</f>
        <v>234</v>
      </c>
      <c r="O5" s="16" t="n">
        <f aca="false">N5/60</f>
        <v>3.9</v>
      </c>
      <c r="P5" s="5" t="str">
        <f aca="false">IF(AND(O5&gt;=3,O5&lt;=5),"예",IF(O5&lt;3,"짧음","김"))</f>
        <v>예</v>
      </c>
    </row>
    <row r="6" customFormat="false" ht="15" hidden="false" customHeight="true" outlineLevel="0" collapsed="false">
      <c r="A6" s="13" t="s">
        <v>134</v>
      </c>
      <c r="B6" s="14" t="n">
        <v>30</v>
      </c>
      <c r="C6" s="14" t="n">
        <v>10</v>
      </c>
      <c r="D6" s="14" t="n">
        <v>15</v>
      </c>
      <c r="E6" s="14" t="n">
        <v>15</v>
      </c>
      <c r="F6" s="14" t="n">
        <v>5</v>
      </c>
      <c r="G6" s="14" t="n">
        <v>9</v>
      </c>
      <c r="H6" s="14" t="n">
        <v>18</v>
      </c>
      <c r="I6" s="14" t="n">
        <v>8</v>
      </c>
      <c r="J6" s="14" t="n">
        <v>15</v>
      </c>
      <c r="K6" s="14" t="n">
        <v>15</v>
      </c>
      <c r="L6" s="15" t="n">
        <f aca="false">G6*(H6+I6)+J6</f>
        <v>249</v>
      </c>
      <c r="M6" s="16" t="n">
        <f aca="false">L6/60</f>
        <v>4.15</v>
      </c>
      <c r="N6" s="15" t="n">
        <f aca="false">B6+C6+D6+E6+F6+L6+K6</f>
        <v>339</v>
      </c>
      <c r="O6" s="16" t="n">
        <f aca="false">N6/60</f>
        <v>5.65</v>
      </c>
      <c r="P6" s="5" t="str">
        <f aca="false">IF(AND(O6&gt;=3,O6&lt;=5),"예",IF(O6&lt;3,"짧음","김"))</f>
        <v>김</v>
      </c>
    </row>
    <row r="7" customFormat="false" ht="16.5" hidden="false" customHeight="true" outlineLevel="0" collapsed="false">
      <c r="A7" s="13" t="s">
        <v>135</v>
      </c>
      <c r="B7" s="17" t="n">
        <f aca="false">설정값!$B$4</f>
        <v>30</v>
      </c>
      <c r="C7" s="14" t="n">
        <v>10</v>
      </c>
      <c r="D7" s="14" t="n">
        <v>15</v>
      </c>
      <c r="E7" s="14" t="n">
        <v>15</v>
      </c>
      <c r="F7" s="14" t="n">
        <v>5</v>
      </c>
      <c r="G7" s="17" t="n">
        <f aca="false">설정값!$B$10</f>
        <v>10</v>
      </c>
      <c r="H7" s="17" t="n">
        <f aca="false">설정값!$B$8</f>
        <v>20</v>
      </c>
      <c r="I7" s="14" t="n">
        <v>8</v>
      </c>
      <c r="J7" s="18" t="n">
        <f aca="false">2*설정값!$B$9</f>
        <v>30</v>
      </c>
      <c r="K7" s="14" t="n">
        <v>15</v>
      </c>
      <c r="L7" s="15" t="n">
        <f aca="false">G7*(H7+I7)+J7</f>
        <v>310</v>
      </c>
      <c r="M7" s="16" t="n">
        <f aca="false">L7/60</f>
        <v>5.16666666666667</v>
      </c>
      <c r="N7" s="15" t="n">
        <f aca="false">B7+C7+D7+E7+F7+L7+K7</f>
        <v>400</v>
      </c>
      <c r="O7" s="16" t="n">
        <f aca="false">N7/60</f>
        <v>6.66666666666667</v>
      </c>
      <c r="P7" s="5" t="str">
        <f aca="false">IF(AND(O7&gt;=3,O7&lt;=5),"예",IF(O7&lt;3,"짧음","김"))</f>
        <v>김</v>
      </c>
    </row>
    <row r="9" customFormat="false" ht="16.5" hidden="false" customHeight="true" outlineLevel="0" collapsed="false">
      <c r="A9" s="19" t="s">
        <v>136</v>
      </c>
      <c r="B9" s="16" t="n">
        <f aca="false">(L7-J7)/60</f>
        <v>4.66666666666667</v>
      </c>
    </row>
    <row r="10" customFormat="false" ht="15" hidden="false" customHeight="true" outlineLevel="0" collapsed="false">
      <c r="A10" s="3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9"/>
    <col collapsed="false" customWidth="true" hidden="false" outlineLevel="0" max="3" min="3" style="1" width="8"/>
    <col collapsed="false" customWidth="true" hidden="false" outlineLevel="0" max="4" min="4" style="1" width="9"/>
    <col collapsed="false" customWidth="true" hidden="false" outlineLevel="0" max="5" min="5" style="1" width="11"/>
    <col collapsed="false" customWidth="true" hidden="false" outlineLevel="0" max="9" min="6" style="1" width="8"/>
    <col collapsed="false" customWidth="true" hidden="false" outlineLevel="0" max="10" min="10" style="1" width="9"/>
    <col collapsed="false" customWidth="true" hidden="false" outlineLevel="0" max="12" min="11" style="1" width="11"/>
    <col collapsed="false" customWidth="true" hidden="false" outlineLevel="0" max="13" min="13" style="1" width="8"/>
    <col collapsed="false" customWidth="true" hidden="false" outlineLevel="0" max="14" min="14" style="1" width="46"/>
    <col collapsed="false" customWidth="true" hidden="false" outlineLevel="0" max="15" min="15" style="1" width="50"/>
    <col collapsed="false" customWidth="true" hidden="false" outlineLevel="0" max="16" min="16" style="1" width="10"/>
    <col collapsed="false" customWidth="true" hidden="false" outlineLevel="0" max="17" min="17" style="1" width="8"/>
    <col collapsed="false" customWidth="true" hidden="false" outlineLevel="0" max="18" min="18" style="1" width="38"/>
    <col collapsed="false" customWidth="true" hidden="false" outlineLevel="0" max="19" min="19" style="1" width="48"/>
  </cols>
  <sheetData>
    <row r="1" customFormat="false" ht="17.25" hidden="false" customHeight="true" outlineLevel="0" collapsed="false">
      <c r="A1" s="2" t="s">
        <v>138</v>
      </c>
    </row>
    <row r="2" customFormat="false" ht="15" hidden="false" customHeight="true" outlineLevel="0" collapsed="false">
      <c r="A2" s="3" t="s">
        <v>139</v>
      </c>
    </row>
    <row r="3" customFormat="false" ht="15" hidden="false" customHeight="true" outlineLevel="0" collapsed="false">
      <c r="A3" s="19" t="s">
        <v>140</v>
      </c>
      <c r="F3" s="14" t="n">
        <v>0.1</v>
      </c>
      <c r="G3" s="14" t="n">
        <v>1</v>
      </c>
      <c r="H3" s="14" t="n">
        <v>1.25</v>
      </c>
      <c r="I3" s="14" t="n">
        <v>0.1</v>
      </c>
      <c r="J3" s="14" t="n">
        <v>2</v>
      </c>
    </row>
    <row r="4" customFormat="false" ht="16.5" hidden="false" customHeight="true" outlineLevel="0" collapsed="false">
      <c r="A4" s="4" t="s">
        <v>141</v>
      </c>
      <c r="B4" s="4" t="s">
        <v>142</v>
      </c>
      <c r="C4" s="4" t="s">
        <v>143</v>
      </c>
      <c r="D4" s="4" t="s">
        <v>144</v>
      </c>
      <c r="E4" s="4" t="s">
        <v>145</v>
      </c>
      <c r="F4" s="12" t="s">
        <v>146</v>
      </c>
      <c r="G4" s="12" t="s">
        <v>147</v>
      </c>
      <c r="H4" s="12" t="s">
        <v>148</v>
      </c>
      <c r="I4" s="12" t="s">
        <v>149</v>
      </c>
      <c r="J4" s="12" t="s">
        <v>150</v>
      </c>
      <c r="K4" s="4" t="s">
        <v>151</v>
      </c>
      <c r="L4" s="4" t="s">
        <v>152</v>
      </c>
      <c r="M4" s="4" t="s">
        <v>153</v>
      </c>
      <c r="N4" s="4" t="s">
        <v>154</v>
      </c>
      <c r="O4" s="4" t="s">
        <v>155</v>
      </c>
      <c r="P4" s="4" t="s">
        <v>156</v>
      </c>
      <c r="Q4" s="4" t="s">
        <v>157</v>
      </c>
      <c r="R4" s="4" t="s">
        <v>158</v>
      </c>
      <c r="S4" s="4" t="s">
        <v>159</v>
      </c>
    </row>
    <row r="5" customFormat="false" ht="16.5" hidden="false" customHeight="true" outlineLevel="0" collapsed="false">
      <c r="A5" s="13" t="s">
        <v>160</v>
      </c>
      <c r="B5" s="5" t="s">
        <v>161</v>
      </c>
      <c r="C5" s="5" t="s">
        <v>162</v>
      </c>
      <c r="D5" s="5" t="s">
        <v>163</v>
      </c>
      <c r="E5" s="5" t="s">
        <v>164</v>
      </c>
      <c r="F5" s="14" t="n">
        <v>1200</v>
      </c>
      <c r="G5" s="14" t="n">
        <v>85</v>
      </c>
      <c r="H5" s="14" t="n">
        <v>45</v>
      </c>
      <c r="I5" s="14" t="n">
        <v>85</v>
      </c>
      <c r="J5" s="14" t="n">
        <v>5</v>
      </c>
      <c r="K5" s="16" t="n">
        <f aca="false">F5*$F$3+G5*$G$3+H5*$H$3+I5*$I$3+J5*$J$3</f>
        <v>279.75</v>
      </c>
      <c r="L5" s="20" t="n">
        <f aca="false">K5/설정값!$B$27-1</f>
        <v>-0.00089285714285714</v>
      </c>
      <c r="M5" s="5" t="str">
        <f aca="false">IF(ABS(L5)&lt;=설정값!$B$28,"OK",IF(L5&gt;0,"초과","미달"))</f>
        <v>OK</v>
      </c>
      <c r="N5" s="5" t="s">
        <v>165</v>
      </c>
      <c r="O5" s="5" t="s">
        <v>166</v>
      </c>
      <c r="P5" s="5" t="s">
        <v>167</v>
      </c>
      <c r="Q5" s="5" t="s">
        <v>168</v>
      </c>
      <c r="R5" s="5" t="s">
        <v>169</v>
      </c>
      <c r="S5" s="5" t="s">
        <v>170</v>
      </c>
    </row>
    <row r="6" customFormat="false" ht="16.5" hidden="false" customHeight="true" outlineLevel="0" collapsed="false">
      <c r="A6" s="13" t="s">
        <v>171</v>
      </c>
      <c r="B6" s="5" t="s">
        <v>172</v>
      </c>
      <c r="C6" s="5" t="s">
        <v>173</v>
      </c>
      <c r="D6" s="5" t="s">
        <v>174</v>
      </c>
      <c r="E6" s="5" t="s">
        <v>164</v>
      </c>
      <c r="F6" s="14" t="n">
        <v>1100</v>
      </c>
      <c r="G6" s="14" t="n">
        <v>108</v>
      </c>
      <c r="H6" s="14" t="n">
        <v>33</v>
      </c>
      <c r="I6" s="14" t="n">
        <v>80</v>
      </c>
      <c r="J6" s="14" t="n">
        <v>10</v>
      </c>
      <c r="K6" s="16" t="n">
        <f aca="false">F6*$F$3+G6*$G$3+H6*$H$3+I6*$I$3+J6*$J$3</f>
        <v>287.25</v>
      </c>
      <c r="L6" s="20" t="n">
        <f aca="false">K6/설정값!$B$27-1</f>
        <v>0.0258928571428572</v>
      </c>
      <c r="M6" s="5" t="str">
        <f aca="false">IF(ABS(L6)&lt;=설정값!$B$28,"OK",IF(L6&gt;0,"초과","미달"))</f>
        <v>OK</v>
      </c>
      <c r="N6" s="5" t="s">
        <v>175</v>
      </c>
      <c r="O6" s="5" t="s">
        <v>176</v>
      </c>
      <c r="P6" s="5" t="s">
        <v>167</v>
      </c>
      <c r="Q6" s="5" t="s">
        <v>177</v>
      </c>
      <c r="R6" s="5" t="s">
        <v>178</v>
      </c>
      <c r="S6" s="5" t="s">
        <v>179</v>
      </c>
    </row>
    <row r="7" customFormat="false" ht="16.5" hidden="false" customHeight="true" outlineLevel="0" collapsed="false">
      <c r="A7" s="13" t="s">
        <v>180</v>
      </c>
      <c r="B7" s="5" t="s">
        <v>181</v>
      </c>
      <c r="C7" s="5" t="s">
        <v>182</v>
      </c>
      <c r="D7" s="5" t="s">
        <v>183</v>
      </c>
      <c r="E7" s="5" t="s">
        <v>164</v>
      </c>
      <c r="F7" s="14" t="n">
        <v>950</v>
      </c>
      <c r="G7" s="14" t="n">
        <v>100</v>
      </c>
      <c r="H7" s="14" t="n">
        <v>40</v>
      </c>
      <c r="I7" s="14" t="n">
        <v>105</v>
      </c>
      <c r="J7" s="14" t="n">
        <v>15</v>
      </c>
      <c r="K7" s="16" t="n">
        <f aca="false">F7*$F$3+G7*$G$3+H7*$H$3+I7*$I$3+J7*$J$3</f>
        <v>285.5</v>
      </c>
      <c r="L7" s="20" t="n">
        <f aca="false">K7/설정값!$B$27-1</f>
        <v>0.0196428571428571</v>
      </c>
      <c r="M7" s="5" t="str">
        <f aca="false">IF(ABS(L7)&lt;=설정값!$B$28,"OK",IF(L7&gt;0,"초과","미달"))</f>
        <v>OK</v>
      </c>
      <c r="N7" s="5" t="s">
        <v>184</v>
      </c>
      <c r="O7" s="5" t="s">
        <v>185</v>
      </c>
      <c r="P7" s="5" t="s">
        <v>167</v>
      </c>
      <c r="Q7" s="5" t="s">
        <v>186</v>
      </c>
      <c r="R7" s="5" t="s">
        <v>187</v>
      </c>
      <c r="S7" s="5" t="s">
        <v>188</v>
      </c>
    </row>
    <row r="8" customFormat="false" ht="16.5" hidden="false" customHeight="true" outlineLevel="0" collapsed="false">
      <c r="A8" s="13" t="s">
        <v>189</v>
      </c>
      <c r="B8" s="5" t="s">
        <v>190</v>
      </c>
      <c r="C8" s="5" t="s">
        <v>162</v>
      </c>
      <c r="D8" s="5" t="s">
        <v>191</v>
      </c>
      <c r="E8" s="5" t="s">
        <v>164</v>
      </c>
      <c r="F8" s="14" t="n">
        <v>1050</v>
      </c>
      <c r="G8" s="14" t="n">
        <v>90</v>
      </c>
      <c r="H8" s="14" t="n">
        <v>50</v>
      </c>
      <c r="I8" s="14" t="n">
        <v>95</v>
      </c>
      <c r="J8" s="14" t="n">
        <v>5</v>
      </c>
      <c r="K8" s="16" t="n">
        <f aca="false">F8*$F$3+G8*$G$3+H8*$H$3+I8*$I$3+J8*$J$3</f>
        <v>277</v>
      </c>
      <c r="L8" s="20" t="n">
        <f aca="false">K8/설정값!$B$27-1</f>
        <v>-0.0107142857142857</v>
      </c>
      <c r="M8" s="5" t="str">
        <f aca="false">IF(ABS(L8)&lt;=설정값!$B$28,"OK",IF(L8&gt;0,"초과","미달"))</f>
        <v>OK</v>
      </c>
      <c r="N8" s="5" t="s">
        <v>192</v>
      </c>
      <c r="O8" s="5" t="s">
        <v>193</v>
      </c>
      <c r="P8" s="5" t="s">
        <v>194</v>
      </c>
      <c r="Q8" s="5" t="s">
        <v>195</v>
      </c>
      <c r="R8" s="5" t="s">
        <v>196</v>
      </c>
      <c r="S8" s="5" t="s">
        <v>197</v>
      </c>
    </row>
    <row r="9" customFormat="false" ht="16.5" hidden="false" customHeight="true" outlineLevel="0" collapsed="false">
      <c r="A9" s="13" t="s">
        <v>198</v>
      </c>
      <c r="B9" s="5" t="s">
        <v>199</v>
      </c>
      <c r="C9" s="5" t="s">
        <v>173</v>
      </c>
      <c r="D9" s="5" t="s">
        <v>200</v>
      </c>
      <c r="E9" s="5" t="s">
        <v>164</v>
      </c>
      <c r="F9" s="14" t="n">
        <v>1000</v>
      </c>
      <c r="G9" s="14" t="n">
        <v>104</v>
      </c>
      <c r="H9" s="14" t="n">
        <v>35</v>
      </c>
      <c r="I9" s="14" t="n">
        <v>130</v>
      </c>
      <c r="J9" s="14" t="n">
        <v>10</v>
      </c>
      <c r="K9" s="16" t="n">
        <f aca="false">F9*$F$3+G9*$G$3+H9*$H$3+I9*$I$3+J9*$J$3</f>
        <v>280.75</v>
      </c>
      <c r="L9" s="20" t="n">
        <f aca="false">K9/설정값!$B$27-1</f>
        <v>0.00267857142857153</v>
      </c>
      <c r="M9" s="5" t="str">
        <f aca="false">IF(ABS(L9)&lt;=설정값!$B$28,"OK",IF(L9&gt;0,"초과","미달"))</f>
        <v>OK</v>
      </c>
      <c r="N9" s="5" t="s">
        <v>201</v>
      </c>
      <c r="O9" s="5" t="s">
        <v>202</v>
      </c>
      <c r="P9" s="5" t="s">
        <v>203</v>
      </c>
      <c r="Q9" s="5" t="s">
        <v>204</v>
      </c>
      <c r="R9" s="5" t="s">
        <v>205</v>
      </c>
      <c r="S9" s="5" t="s">
        <v>206</v>
      </c>
    </row>
    <row r="10" customFormat="false" ht="16.5" hidden="false" customHeight="true" outlineLevel="0" collapsed="false">
      <c r="A10" s="13" t="s">
        <v>207</v>
      </c>
      <c r="B10" s="5" t="s">
        <v>208</v>
      </c>
      <c r="C10" s="5" t="s">
        <v>209</v>
      </c>
      <c r="D10" s="5" t="s">
        <v>210</v>
      </c>
      <c r="E10" s="5" t="s">
        <v>164</v>
      </c>
      <c r="F10" s="14" t="n">
        <v>1050</v>
      </c>
      <c r="G10" s="14" t="n">
        <v>100</v>
      </c>
      <c r="H10" s="14" t="n">
        <v>45</v>
      </c>
      <c r="I10" s="14" t="n">
        <v>90</v>
      </c>
      <c r="J10" s="14" t="n">
        <v>5</v>
      </c>
      <c r="K10" s="16" t="n">
        <f aca="false">F10*$F$3+G10*$G$3+H10*$H$3+I10*$I$3+J10*$J$3</f>
        <v>280.25</v>
      </c>
      <c r="L10" s="20" t="n">
        <f aca="false">K10/설정값!$B$27-1</f>
        <v>0.000892857142857251</v>
      </c>
      <c r="M10" s="5" t="str">
        <f aca="false">IF(ABS(L10)&lt;=설정값!$B$28,"OK",IF(L10&gt;0,"초과","미달"))</f>
        <v>OK</v>
      </c>
      <c r="N10" s="5" t="s">
        <v>211</v>
      </c>
      <c r="O10" s="5" t="s">
        <v>212</v>
      </c>
      <c r="P10" s="5" t="s">
        <v>194</v>
      </c>
      <c r="Q10" s="5" t="s">
        <v>213</v>
      </c>
      <c r="R10" s="5" t="s">
        <v>214</v>
      </c>
      <c r="S10" s="5" t="s">
        <v>215</v>
      </c>
    </row>
    <row r="11" customFormat="false" ht="16.5" hidden="false" customHeight="true" outlineLevel="0" collapsed="false">
      <c r="A11" s="13" t="s">
        <v>216</v>
      </c>
      <c r="B11" s="5" t="s">
        <v>217</v>
      </c>
      <c r="C11" s="5" t="s">
        <v>162</v>
      </c>
      <c r="D11" s="5" t="s">
        <v>218</v>
      </c>
      <c r="E11" s="5" t="s">
        <v>164</v>
      </c>
      <c r="F11" s="14" t="n">
        <v>900</v>
      </c>
      <c r="G11" s="14" t="n">
        <v>115</v>
      </c>
      <c r="H11" s="14" t="n">
        <v>32</v>
      </c>
      <c r="I11" s="14" t="n">
        <v>110</v>
      </c>
      <c r="J11" s="14" t="n">
        <v>15</v>
      </c>
      <c r="K11" s="16" t="n">
        <f aca="false">F11*$F$3+G11*$G$3+H11*$H$3+I11*$I$3+J11*$J$3</f>
        <v>286</v>
      </c>
      <c r="L11" s="20" t="n">
        <f aca="false">K11/설정값!$B$27-1</f>
        <v>0.0214285714285714</v>
      </c>
      <c r="M11" s="5" t="str">
        <f aca="false">IF(ABS(L11)&lt;=설정값!$B$28,"OK",IF(L11&gt;0,"초과","미달"))</f>
        <v>OK</v>
      </c>
      <c r="N11" s="5" t="s">
        <v>219</v>
      </c>
      <c r="O11" s="5" t="s">
        <v>220</v>
      </c>
      <c r="P11" s="5" t="s">
        <v>203</v>
      </c>
      <c r="Q11" s="5" t="s">
        <v>221</v>
      </c>
      <c r="R11" s="5" t="s">
        <v>222</v>
      </c>
      <c r="S11" s="5" t="s">
        <v>223</v>
      </c>
    </row>
    <row r="12" customFormat="false" ht="16.5" hidden="false" customHeight="true" outlineLevel="0" collapsed="false">
      <c r="A12" s="13" t="s">
        <v>224</v>
      </c>
      <c r="B12" s="5" t="s">
        <v>225</v>
      </c>
      <c r="C12" s="5" t="s">
        <v>173</v>
      </c>
      <c r="D12" s="5" t="s">
        <v>226</v>
      </c>
      <c r="E12" s="5" t="s">
        <v>164</v>
      </c>
      <c r="F12" s="14" t="n">
        <v>980</v>
      </c>
      <c r="G12" s="14" t="n">
        <v>105</v>
      </c>
      <c r="H12" s="14" t="n">
        <v>37</v>
      </c>
      <c r="I12" s="14" t="n">
        <v>115</v>
      </c>
      <c r="J12" s="14" t="n">
        <v>10</v>
      </c>
      <c r="K12" s="16" t="n">
        <f aca="false">F12*$F$3+G12*$G$3+H12*$H$3+I12*$I$3+J12*$J$3</f>
        <v>280.75</v>
      </c>
      <c r="L12" s="20" t="n">
        <f aca="false">K12/설정값!$B$27-1</f>
        <v>0.00267857142857153</v>
      </c>
      <c r="M12" s="5" t="str">
        <f aca="false">IF(ABS(L12)&lt;=설정값!$B$28,"OK",IF(L12&gt;0,"초과","미달"))</f>
        <v>OK</v>
      </c>
      <c r="N12" s="5" t="s">
        <v>227</v>
      </c>
      <c r="O12" s="5" t="s">
        <v>228</v>
      </c>
      <c r="P12" s="5" t="s">
        <v>203</v>
      </c>
      <c r="Q12" s="5" t="s">
        <v>229</v>
      </c>
      <c r="R12" s="5" t="s">
        <v>230</v>
      </c>
      <c r="S12" s="5" t="s">
        <v>231</v>
      </c>
    </row>
    <row r="13" customFormat="false" ht="16.5" hidden="false" customHeight="true" outlineLevel="0" collapsed="false">
      <c r="A13" s="13" t="s">
        <v>232</v>
      </c>
      <c r="B13" s="5" t="s">
        <v>233</v>
      </c>
      <c r="C13" s="5" t="s">
        <v>209</v>
      </c>
      <c r="D13" s="5" t="s">
        <v>163</v>
      </c>
      <c r="E13" s="5" t="s">
        <v>164</v>
      </c>
      <c r="F13" s="14" t="n">
        <v>1220</v>
      </c>
      <c r="G13" s="14" t="n">
        <v>80</v>
      </c>
      <c r="H13" s="14" t="n">
        <v>50</v>
      </c>
      <c r="I13" s="14" t="n">
        <v>75</v>
      </c>
      <c r="J13" s="14" t="n">
        <v>5</v>
      </c>
      <c r="K13" s="16" t="n">
        <f aca="false">F13*$F$3+G13*$G$3+H13*$H$3+I13*$I$3+J13*$J$3</f>
        <v>282</v>
      </c>
      <c r="L13" s="20" t="n">
        <f aca="false">K13/설정값!$B$27-1</f>
        <v>0.00714285714285712</v>
      </c>
      <c r="M13" s="5" t="str">
        <f aca="false">IF(ABS(L13)&lt;=설정값!$B$28,"OK",IF(L13&gt;0,"초과","미달"))</f>
        <v>OK</v>
      </c>
      <c r="N13" s="5" t="s">
        <v>234</v>
      </c>
      <c r="O13" s="5" t="s">
        <v>235</v>
      </c>
      <c r="P13" s="5" t="s">
        <v>194</v>
      </c>
      <c r="Q13" s="5" t="s">
        <v>236</v>
      </c>
      <c r="R13" s="5" t="s">
        <v>237</v>
      </c>
      <c r="S13" s="5" t="s">
        <v>238</v>
      </c>
    </row>
    <row r="15" customFormat="false" ht="15" hidden="false" customHeight="true" outlineLevel="0" collapsed="false">
      <c r="A15" s="21" t="s">
        <v>239</v>
      </c>
    </row>
    <row r="16" customFormat="false" ht="15" hidden="false" customHeight="true" outlineLevel="0" collapsed="false">
      <c r="A16" s="21" t="s">
        <v>240</v>
      </c>
    </row>
    <row r="17" customFormat="false" ht="15" hidden="false" customHeight="true" outlineLevel="0" collapsed="false">
      <c r="A17" s="3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7"/>
    <col collapsed="false" customWidth="true" hidden="false" outlineLevel="0" max="4" min="4" style="1" width="9"/>
    <col collapsed="false" customWidth="true" hidden="false" outlineLevel="0" max="5" min="5" style="1" width="10"/>
    <col collapsed="false" customWidth="true" hidden="false" outlineLevel="0" max="7" min="6" style="1" width="8"/>
    <col collapsed="false" customWidth="true" hidden="false" outlineLevel="0" max="8" min="8" style="1" width="6"/>
    <col collapsed="false" customWidth="true" hidden="false" outlineLevel="0" max="9" min="9" style="1" width="7"/>
    <col collapsed="false" customWidth="true" hidden="false" outlineLevel="0" max="10" min="10" style="1" width="52"/>
    <col collapsed="false" customWidth="true" hidden="false" outlineLevel="0" max="11" min="11" style="1" width="10"/>
    <col collapsed="false" customWidth="true" hidden="false" outlineLevel="0" max="12" min="12" style="1" width="12"/>
  </cols>
  <sheetData>
    <row r="1" customFormat="false" ht="21" hidden="false" customHeight="true" outlineLevel="0" collapsed="false">
      <c r="A1" s="2" t="s">
        <v>242</v>
      </c>
    </row>
    <row r="2" customFormat="false" ht="15" hidden="false" customHeight="true" outlineLevel="0" collapsed="false">
      <c r="A2" s="3" t="s">
        <v>243</v>
      </c>
    </row>
    <row r="3" customFormat="false" ht="16.5" hidden="false" customHeight="true" outlineLevel="0" collapsed="false">
      <c r="A3" s="19" t="s">
        <v>244</v>
      </c>
      <c r="B3" s="14" t="n">
        <v>100</v>
      </c>
      <c r="C3" s="19" t="s">
        <v>245</v>
      </c>
      <c r="D3" s="14" t="n">
        <v>40</v>
      </c>
    </row>
    <row r="4" customFormat="false" ht="32.25" hidden="false" customHeight="true" outlineLevel="0" collapsed="false">
      <c r="A4" s="12" t="s">
        <v>157</v>
      </c>
      <c r="B4" s="4" t="s">
        <v>246</v>
      </c>
      <c r="C4" s="4" t="s">
        <v>247</v>
      </c>
      <c r="D4" s="4" t="s">
        <v>248</v>
      </c>
      <c r="E4" s="4" t="s">
        <v>249</v>
      </c>
      <c r="F4" s="4" t="s">
        <v>250</v>
      </c>
      <c r="G4" s="4" t="s">
        <v>251</v>
      </c>
      <c r="H4" s="4" t="s">
        <v>252</v>
      </c>
      <c r="I4" s="4" t="s">
        <v>253</v>
      </c>
      <c r="J4" s="4" t="s">
        <v>254</v>
      </c>
      <c r="K4" s="4" t="s">
        <v>255</v>
      </c>
      <c r="L4" s="4" t="s">
        <v>256</v>
      </c>
    </row>
    <row r="5" customFormat="false" ht="15" hidden="false" customHeight="true" outlineLevel="0" collapsed="false">
      <c r="A5" s="22" t="s">
        <v>257</v>
      </c>
      <c r="B5" s="5" t="s">
        <v>258</v>
      </c>
      <c r="C5" s="5" t="s">
        <v>259</v>
      </c>
      <c r="D5" s="5" t="n">
        <v>4</v>
      </c>
      <c r="E5" s="5" t="s">
        <v>260</v>
      </c>
      <c r="F5" s="14" t="n">
        <v>1</v>
      </c>
      <c r="G5" s="23" t="n">
        <v>1</v>
      </c>
      <c r="H5" s="14" t="n">
        <v>1</v>
      </c>
      <c r="I5" s="10" t="n">
        <v>0</v>
      </c>
      <c r="J5" s="7" t="s">
        <v>261</v>
      </c>
      <c r="K5" s="15" t="n">
        <f aca="false">IF(C5="공격",$B$3*G5*H5*100/(100+$D$3*(1-I5)),"")</f>
        <v>71.4285714285714</v>
      </c>
      <c r="L5" s="15" t="n">
        <f aca="false">IF(C5="공격",K5/F5,"")</f>
        <v>71.4285714285714</v>
      </c>
    </row>
    <row r="6" customFormat="false" ht="15" hidden="false" customHeight="true" outlineLevel="0" collapsed="false">
      <c r="A6" s="22" t="s">
        <v>262</v>
      </c>
      <c r="B6" s="5" t="s">
        <v>263</v>
      </c>
      <c r="C6" s="5" t="s">
        <v>259</v>
      </c>
      <c r="D6" s="5" t="n">
        <v>4</v>
      </c>
      <c r="E6" s="5" t="s">
        <v>260</v>
      </c>
      <c r="F6" s="14" t="n">
        <v>2</v>
      </c>
      <c r="G6" s="23" t="n">
        <v>1.8</v>
      </c>
      <c r="H6" s="14" t="n">
        <v>1</v>
      </c>
      <c r="I6" s="10" t="n">
        <v>0</v>
      </c>
      <c r="J6" s="7" t="s">
        <v>264</v>
      </c>
      <c r="K6" s="15" t="n">
        <f aca="false">IF(C6="공격",$B$3*G6*H6*100/(100+$D$3*(1-I6)),"")</f>
        <v>128.571428571429</v>
      </c>
      <c r="L6" s="15" t="n">
        <f aca="false">IF(C6="공격",K6/F6,"")</f>
        <v>64.2857142857143</v>
      </c>
    </row>
    <row r="7" customFormat="false" ht="16.5" hidden="false" customHeight="true" outlineLevel="0" collapsed="false">
      <c r="A7" s="22" t="s">
        <v>265</v>
      </c>
      <c r="B7" s="5" t="s">
        <v>266</v>
      </c>
      <c r="C7" s="5" t="s">
        <v>259</v>
      </c>
      <c r="D7" s="5" t="n">
        <v>4</v>
      </c>
      <c r="E7" s="5" t="s">
        <v>260</v>
      </c>
      <c r="F7" s="14" t="n">
        <v>2</v>
      </c>
      <c r="G7" s="23" t="n">
        <v>0.6</v>
      </c>
      <c r="H7" s="14" t="n">
        <v>3</v>
      </c>
      <c r="I7" s="10" t="n">
        <v>0</v>
      </c>
      <c r="J7" s="7" t="s">
        <v>267</v>
      </c>
      <c r="K7" s="15" t="n">
        <f aca="false">IF(C7="공격",$B$3*G7*H7*100/(100+$D$3*(1-I7)),"")</f>
        <v>128.571428571429</v>
      </c>
      <c r="L7" s="15" t="n">
        <f aca="false">IF(C7="공격",K7/F7,"")</f>
        <v>64.2857142857143</v>
      </c>
    </row>
    <row r="8" customFormat="false" ht="16.5" hidden="false" customHeight="true" outlineLevel="0" collapsed="false">
      <c r="A8" s="22" t="s">
        <v>268</v>
      </c>
      <c r="B8" s="5" t="s">
        <v>269</v>
      </c>
      <c r="C8" s="5" t="s">
        <v>259</v>
      </c>
      <c r="D8" s="5" t="n">
        <v>4</v>
      </c>
      <c r="E8" s="5" t="s">
        <v>260</v>
      </c>
      <c r="F8" s="14" t="n">
        <v>3</v>
      </c>
      <c r="G8" s="23" t="n">
        <v>1.5</v>
      </c>
      <c r="H8" s="14" t="n">
        <v>1</v>
      </c>
      <c r="I8" s="10" t="n">
        <v>0.5</v>
      </c>
      <c r="J8" s="7" t="s">
        <v>270</v>
      </c>
      <c r="K8" s="15" t="n">
        <f aca="false">IF(C8="공격",$B$3*G8*H8*100/(100+$D$3*(1-I8)),"")</f>
        <v>125</v>
      </c>
      <c r="L8" s="15" t="n">
        <f aca="false">IF(C8="공격",K8/F8,"")</f>
        <v>41.6666666666667</v>
      </c>
    </row>
    <row r="9" customFormat="false" ht="16.5" hidden="false" customHeight="true" outlineLevel="0" collapsed="false">
      <c r="A9" s="22" t="s">
        <v>271</v>
      </c>
      <c r="B9" s="5" t="s">
        <v>272</v>
      </c>
      <c r="C9" s="5" t="s">
        <v>273</v>
      </c>
      <c r="D9" s="5" t="n">
        <v>1</v>
      </c>
      <c r="E9" s="5" t="s">
        <v>260</v>
      </c>
      <c r="F9" s="14" t="n">
        <v>1</v>
      </c>
      <c r="G9" s="23" t="n">
        <v>2</v>
      </c>
      <c r="H9" s="14"/>
      <c r="I9" s="10"/>
      <c r="J9" s="5" t="s">
        <v>274</v>
      </c>
      <c r="K9" s="15" t="str">
        <f aca="false">IF(C9="공격",$B$3*G9*H9*100/(100+$D$3*(1-I9)),"")</f>
        <v/>
      </c>
      <c r="L9" s="15" t="str">
        <f aca="false">IF(C9="공격",K9/F9,"")</f>
        <v/>
      </c>
    </row>
    <row r="10" customFormat="false" ht="16.5" hidden="false" customHeight="true" outlineLevel="0" collapsed="false">
      <c r="A10" s="22" t="s">
        <v>275</v>
      </c>
      <c r="B10" s="5" t="s">
        <v>276</v>
      </c>
      <c r="C10" s="5" t="s">
        <v>273</v>
      </c>
      <c r="D10" s="5" t="n">
        <v>1</v>
      </c>
      <c r="E10" s="5" t="s">
        <v>260</v>
      </c>
      <c r="F10" s="14" t="n">
        <v>2</v>
      </c>
      <c r="G10" s="23" t="n">
        <v>3.5</v>
      </c>
      <c r="H10" s="14"/>
      <c r="I10" s="10"/>
      <c r="J10" s="5" t="s">
        <v>277</v>
      </c>
      <c r="K10" s="15" t="str">
        <f aca="false">IF(C10="공격",$B$3*G10*H10*100/(100+$D$3*(1-I10)),"")</f>
        <v/>
      </c>
      <c r="L10" s="15" t="str">
        <f aca="false">IF(C10="공격",K10/F10,"")</f>
        <v/>
      </c>
    </row>
    <row r="11" customFormat="false" ht="16.5" hidden="false" customHeight="true" outlineLevel="0" collapsed="false">
      <c r="A11" s="22" t="s">
        <v>278</v>
      </c>
      <c r="B11" s="5" t="s">
        <v>279</v>
      </c>
      <c r="C11" s="5" t="s">
        <v>280</v>
      </c>
      <c r="D11" s="5" t="n">
        <v>1</v>
      </c>
      <c r="E11" s="5" t="s">
        <v>260</v>
      </c>
      <c r="F11" s="14" t="n">
        <v>2</v>
      </c>
      <c r="G11" s="23" t="n">
        <v>0.8</v>
      </c>
      <c r="H11" s="14"/>
      <c r="I11" s="10"/>
      <c r="J11" s="5" t="s">
        <v>281</v>
      </c>
      <c r="K11" s="15" t="str">
        <f aca="false">IF(C11="공격",$B$3*G11*H11*100/(100+$D$3*(1-I11)),"")</f>
        <v/>
      </c>
      <c r="L11" s="15" t="str">
        <f aca="false">IF(C11="공격",K11/F11,"")</f>
        <v/>
      </c>
    </row>
    <row r="12" customFormat="false" ht="16.5" hidden="false" customHeight="true" outlineLevel="0" collapsed="false">
      <c r="A12" s="22" t="s">
        <v>282</v>
      </c>
      <c r="B12" s="5" t="s">
        <v>283</v>
      </c>
      <c r="C12" s="5" t="s">
        <v>284</v>
      </c>
      <c r="D12" s="5" t="n">
        <v>2</v>
      </c>
      <c r="E12" s="5" t="s">
        <v>260</v>
      </c>
      <c r="F12" s="14" t="n">
        <v>2</v>
      </c>
      <c r="G12" s="9"/>
      <c r="H12" s="14"/>
      <c r="I12" s="10"/>
      <c r="J12" s="5" t="s">
        <v>285</v>
      </c>
      <c r="K12" s="15" t="str">
        <f aca="false">IF(C12="공격",$B$3*G12*H12*100/(100+$D$3*(1-I12)),"")</f>
        <v/>
      </c>
      <c r="L12" s="15" t="str">
        <f aca="false">IF(C12="공격",K12/F12,"")</f>
        <v/>
      </c>
    </row>
    <row r="13" customFormat="false" ht="16.5" hidden="false" customHeight="true" outlineLevel="0" collapsed="false">
      <c r="A13" s="22" t="s">
        <v>286</v>
      </c>
      <c r="B13" s="5" t="s">
        <v>287</v>
      </c>
      <c r="C13" s="5" t="s">
        <v>284</v>
      </c>
      <c r="D13" s="5" t="n">
        <v>2</v>
      </c>
      <c r="E13" s="5" t="s">
        <v>260</v>
      </c>
      <c r="F13" s="14" t="n">
        <v>1</v>
      </c>
      <c r="G13" s="9"/>
      <c r="H13" s="14"/>
      <c r="I13" s="10"/>
      <c r="J13" s="5" t="s">
        <v>288</v>
      </c>
      <c r="K13" s="15" t="str">
        <f aca="false">IF(C13="공격",$B$3*G13*H13*100/(100+$D$3*(1-I13)),"")</f>
        <v/>
      </c>
      <c r="L13" s="15" t="str">
        <f aca="false">IF(C13="공격",K13/F13,"")</f>
        <v/>
      </c>
    </row>
    <row r="14" customFormat="false" ht="16.5" hidden="false" customHeight="true" outlineLevel="0" collapsed="false">
      <c r="A14" s="22" t="s">
        <v>289</v>
      </c>
      <c r="B14" s="5" t="s">
        <v>290</v>
      </c>
      <c r="C14" s="5" t="s">
        <v>291</v>
      </c>
      <c r="D14" s="5" t="n">
        <v>1</v>
      </c>
      <c r="E14" s="5" t="s">
        <v>260</v>
      </c>
      <c r="F14" s="14" t="n">
        <v>1</v>
      </c>
      <c r="G14" s="9"/>
      <c r="H14" s="14"/>
      <c r="I14" s="10"/>
      <c r="J14" s="5" t="s">
        <v>292</v>
      </c>
      <c r="K14" s="15" t="str">
        <f aca="false">IF(C14="공격",$B$3*G14*H14*100/(100+$D$3*(1-I14)),"")</f>
        <v/>
      </c>
      <c r="L14" s="15" t="str">
        <f aca="false">IF(C14="공격",K14/F14,"")</f>
        <v/>
      </c>
    </row>
    <row r="15" customFormat="false" ht="16.5" hidden="false" customHeight="true" outlineLevel="0" collapsed="false">
      <c r="A15" s="22" t="s">
        <v>293</v>
      </c>
      <c r="B15" s="5" t="s">
        <v>294</v>
      </c>
      <c r="C15" s="5" t="s">
        <v>291</v>
      </c>
      <c r="D15" s="5" t="n">
        <v>1</v>
      </c>
      <c r="E15" s="5" t="s">
        <v>260</v>
      </c>
      <c r="F15" s="14" t="n">
        <v>2</v>
      </c>
      <c r="G15" s="23" t="n">
        <v>1</v>
      </c>
      <c r="H15" s="14"/>
      <c r="I15" s="10"/>
      <c r="J15" s="5" t="s">
        <v>295</v>
      </c>
      <c r="K15" s="15" t="str">
        <f aca="false">IF(C15="공격",$B$3*G15*H15*100/(100+$D$3*(1-I15)),"")</f>
        <v/>
      </c>
      <c r="L15" s="15" t="str">
        <f aca="false">IF(C15="공격",K15/F15,"")</f>
        <v/>
      </c>
    </row>
    <row r="16" customFormat="false" ht="16.5" hidden="false" customHeight="true" outlineLevel="0" collapsed="false">
      <c r="A16" s="22" t="s">
        <v>296</v>
      </c>
      <c r="B16" s="5" t="s">
        <v>297</v>
      </c>
      <c r="C16" s="5" t="s">
        <v>298</v>
      </c>
      <c r="D16" s="5" t="n">
        <v>2</v>
      </c>
      <c r="E16" s="5" t="s">
        <v>260</v>
      </c>
      <c r="F16" s="14" t="n">
        <v>1</v>
      </c>
      <c r="G16" s="23" t="n">
        <v>0.2</v>
      </c>
      <c r="H16" s="14"/>
      <c r="I16" s="10"/>
      <c r="J16" s="5" t="s">
        <v>299</v>
      </c>
      <c r="K16" s="15" t="str">
        <f aca="false">IF(C16="공격",$B$3*G16*H16*100/(100+$D$3*(1-I16)),"")</f>
        <v/>
      </c>
      <c r="L16" s="15" t="str">
        <f aca="false">IF(C16="공격",K16/F16,"")</f>
        <v/>
      </c>
    </row>
    <row r="17" customFormat="false" ht="16.5" hidden="false" customHeight="true" outlineLevel="0" collapsed="false">
      <c r="A17" s="22" t="s">
        <v>300</v>
      </c>
      <c r="B17" s="5" t="s">
        <v>301</v>
      </c>
      <c r="C17" s="5" t="s">
        <v>302</v>
      </c>
      <c r="D17" s="5" t="n">
        <v>3</v>
      </c>
      <c r="E17" s="5" t="s">
        <v>260</v>
      </c>
      <c r="F17" s="14" t="n">
        <v>2</v>
      </c>
      <c r="G17" s="23" t="n">
        <v>0.12</v>
      </c>
      <c r="H17" s="14"/>
      <c r="I17" s="10"/>
      <c r="J17" s="5" t="s">
        <v>303</v>
      </c>
      <c r="K17" s="15" t="str">
        <f aca="false">IF(C17="공격",$B$3*G17*H17*100/(100+$D$3*(1-I17)),"")</f>
        <v/>
      </c>
      <c r="L17" s="15" t="str">
        <f aca="false">IF(C17="공격",K17/F17,"")</f>
        <v/>
      </c>
    </row>
    <row r="18" customFormat="false" ht="16.5" hidden="false" customHeight="true" outlineLevel="0" collapsed="false">
      <c r="A18" s="22" t="s">
        <v>304</v>
      </c>
      <c r="B18" s="5" t="s">
        <v>305</v>
      </c>
      <c r="C18" s="5" t="s">
        <v>302</v>
      </c>
      <c r="D18" s="5" t="n">
        <v>3</v>
      </c>
      <c r="E18" s="5" t="s">
        <v>260</v>
      </c>
      <c r="F18" s="14" t="n">
        <v>1</v>
      </c>
      <c r="G18" s="9" t="n">
        <v>25</v>
      </c>
      <c r="H18" s="14"/>
      <c r="I18" s="10"/>
      <c r="J18" s="5" t="s">
        <v>306</v>
      </c>
      <c r="K18" s="15" t="str">
        <f aca="false">IF(C18="공격",$B$3*G18*H18*100/(100+$D$3*(1-I18)),"")</f>
        <v/>
      </c>
      <c r="L18" s="15" t="str">
        <f aca="false">IF(C18="공격",K18/F18,"")</f>
        <v/>
      </c>
    </row>
    <row r="19" customFormat="false" ht="16.5" hidden="false" customHeight="true" outlineLevel="0" collapsed="false">
      <c r="A19" s="22" t="s">
        <v>307</v>
      </c>
      <c r="B19" s="5" t="s">
        <v>308</v>
      </c>
      <c r="C19" s="5" t="s">
        <v>302</v>
      </c>
      <c r="D19" s="5" t="n">
        <v>3</v>
      </c>
      <c r="E19" s="5" t="s">
        <v>260</v>
      </c>
      <c r="F19" s="14" t="n">
        <v>1</v>
      </c>
      <c r="G19" s="23" t="n">
        <v>2</v>
      </c>
      <c r="H19" s="14"/>
      <c r="I19" s="10"/>
      <c r="J19" s="5" t="s">
        <v>309</v>
      </c>
      <c r="K19" s="15" t="str">
        <f aca="false">IF(C19="공격",$B$3*G19*H19*100/(100+$D$3*(1-I19)),"")</f>
        <v/>
      </c>
      <c r="L19" s="15" t="str">
        <f aca="false">IF(C19="공격",K19/F19,"")</f>
        <v/>
      </c>
    </row>
    <row r="20" customFormat="false" ht="16.5" hidden="false" customHeight="true" outlineLevel="0" collapsed="false">
      <c r="A20" s="22" t="s">
        <v>310</v>
      </c>
      <c r="B20" s="5" t="s">
        <v>311</v>
      </c>
      <c r="C20" s="5" t="s">
        <v>302</v>
      </c>
      <c r="D20" s="5" t="n">
        <v>3</v>
      </c>
      <c r="E20" s="5" t="s">
        <v>260</v>
      </c>
      <c r="F20" s="14" t="n">
        <v>1</v>
      </c>
      <c r="G20" s="23" t="n">
        <v>0.3</v>
      </c>
      <c r="H20" s="14"/>
      <c r="I20" s="10"/>
      <c r="J20" s="5" t="s">
        <v>312</v>
      </c>
      <c r="K20" s="15" t="str">
        <f aca="false">IF(C20="공격",$B$3*G20*H20*100/(100+$D$3*(1-I20)),"")</f>
        <v/>
      </c>
      <c r="L20" s="15" t="str">
        <f aca="false">IF(C20="공격",K20/F20,"")</f>
        <v/>
      </c>
    </row>
    <row r="21" customFormat="false" ht="16.5" hidden="false" customHeight="true" outlineLevel="0" collapsed="false">
      <c r="A21" s="22" t="s">
        <v>313</v>
      </c>
      <c r="B21" s="5" t="s">
        <v>314</v>
      </c>
      <c r="C21" s="5" t="s">
        <v>273</v>
      </c>
      <c r="D21" s="5" t="n">
        <v>1</v>
      </c>
      <c r="E21" s="5" t="s">
        <v>160</v>
      </c>
      <c r="F21" s="14" t="n">
        <v>2</v>
      </c>
      <c r="G21" s="23" t="n">
        <v>2.5</v>
      </c>
      <c r="H21" s="14"/>
      <c r="I21" s="10"/>
      <c r="J21" s="5" t="s">
        <v>315</v>
      </c>
      <c r="K21" s="15" t="str">
        <f aca="false">IF(C21="공격",$B$3*G21*H21*100/(100+$D$3*(1-I21)),"")</f>
        <v/>
      </c>
      <c r="L21" s="15" t="str">
        <f aca="false">IF(C21="공격",K21/F21,"")</f>
        <v/>
      </c>
    </row>
    <row r="22" customFormat="false" ht="16.5" hidden="false" customHeight="true" outlineLevel="0" collapsed="false">
      <c r="A22" s="22" t="s">
        <v>316</v>
      </c>
      <c r="B22" s="5" t="s">
        <v>317</v>
      </c>
      <c r="C22" s="5" t="s">
        <v>302</v>
      </c>
      <c r="D22" s="5" t="n">
        <v>3</v>
      </c>
      <c r="E22" s="5" t="s">
        <v>160</v>
      </c>
      <c r="F22" s="14" t="n">
        <v>1</v>
      </c>
      <c r="G22" s="23" t="n">
        <v>0.3</v>
      </c>
      <c r="H22" s="14"/>
      <c r="I22" s="10"/>
      <c r="J22" s="5" t="s">
        <v>318</v>
      </c>
      <c r="K22" s="15" t="str">
        <f aca="false">IF(C22="공격",$B$3*G22*H22*100/(100+$D$3*(1-I22)),"")</f>
        <v/>
      </c>
      <c r="L22" s="15" t="str">
        <f aca="false">IF(C22="공격",K22/F22,"")</f>
        <v/>
      </c>
    </row>
    <row r="23" customFormat="false" ht="16.5" hidden="false" customHeight="true" outlineLevel="0" collapsed="false">
      <c r="A23" s="22" t="s">
        <v>319</v>
      </c>
      <c r="B23" s="5" t="s">
        <v>320</v>
      </c>
      <c r="C23" s="5" t="s">
        <v>259</v>
      </c>
      <c r="D23" s="5" t="n">
        <v>4</v>
      </c>
      <c r="E23" s="5" t="s">
        <v>171</v>
      </c>
      <c r="F23" s="14" t="n">
        <v>2</v>
      </c>
      <c r="G23" s="23" t="n">
        <v>2</v>
      </c>
      <c r="H23" s="14" t="n">
        <v>1</v>
      </c>
      <c r="I23" s="10" t="n">
        <v>0</v>
      </c>
      <c r="J23" s="7" t="s">
        <v>321</v>
      </c>
      <c r="K23" s="15" t="n">
        <f aca="false">IF(C23="공격",$B$3*G23*H23*100/(100+$D$3*(1-I23)),"")</f>
        <v>142.857142857143</v>
      </c>
      <c r="L23" s="15" t="n">
        <f aca="false">IF(C23="공격",K23/F23,"")</f>
        <v>71.4285714285714</v>
      </c>
    </row>
    <row r="24" customFormat="false" ht="16.5" hidden="false" customHeight="true" outlineLevel="0" collapsed="false">
      <c r="A24" s="22" t="s">
        <v>322</v>
      </c>
      <c r="B24" s="5" t="s">
        <v>323</v>
      </c>
      <c r="C24" s="5" t="s">
        <v>302</v>
      </c>
      <c r="D24" s="5" t="n">
        <v>3</v>
      </c>
      <c r="E24" s="5" t="s">
        <v>171</v>
      </c>
      <c r="F24" s="14" t="n">
        <v>1</v>
      </c>
      <c r="G24" s="9" t="n">
        <v>35</v>
      </c>
      <c r="H24" s="14"/>
      <c r="I24" s="10"/>
      <c r="J24" s="5" t="s">
        <v>324</v>
      </c>
      <c r="K24" s="15" t="str">
        <f aca="false">IF(C24="공격",$B$3*G24*H24*100/(100+$D$3*(1-I24)),"")</f>
        <v/>
      </c>
      <c r="L24" s="15" t="str">
        <f aca="false">IF(C24="공격",K24/F24,"")</f>
        <v/>
      </c>
    </row>
    <row r="25" customFormat="false" ht="16.5" hidden="false" customHeight="true" outlineLevel="0" collapsed="false">
      <c r="A25" s="22" t="s">
        <v>325</v>
      </c>
      <c r="B25" s="5" t="s">
        <v>326</v>
      </c>
      <c r="C25" s="5" t="s">
        <v>280</v>
      </c>
      <c r="D25" s="5" t="n">
        <v>1</v>
      </c>
      <c r="E25" s="5" t="s">
        <v>180</v>
      </c>
      <c r="F25" s="14" t="n">
        <v>2</v>
      </c>
      <c r="G25" s="23" t="n">
        <v>2</v>
      </c>
      <c r="H25" s="14"/>
      <c r="I25" s="10"/>
      <c r="J25" s="5" t="s">
        <v>327</v>
      </c>
      <c r="K25" s="15" t="str">
        <f aca="false">IF(C25="공격",$B$3*G25*H25*100/(100+$D$3*(1-I25)),"")</f>
        <v/>
      </c>
      <c r="L25" s="15" t="str">
        <f aca="false">IF(C25="공격",K25/F25,"")</f>
        <v/>
      </c>
    </row>
    <row r="26" customFormat="false" ht="16.5" hidden="false" customHeight="true" outlineLevel="0" collapsed="false">
      <c r="A26" s="22" t="s">
        <v>328</v>
      </c>
      <c r="B26" s="5" t="s">
        <v>329</v>
      </c>
      <c r="C26" s="5" t="s">
        <v>259</v>
      </c>
      <c r="D26" s="5" t="n">
        <v>4</v>
      </c>
      <c r="E26" s="5" t="s">
        <v>180</v>
      </c>
      <c r="F26" s="14" t="n">
        <v>2</v>
      </c>
      <c r="G26" s="23" t="n">
        <v>0.5</v>
      </c>
      <c r="H26" s="14" t="n">
        <v>3</v>
      </c>
      <c r="I26" s="10" t="n">
        <v>0</v>
      </c>
      <c r="J26" s="7" t="s">
        <v>330</v>
      </c>
      <c r="K26" s="15" t="n">
        <f aca="false">IF(C26="공격",$B$3*G26*H26*100/(100+$D$3*(1-I26)),"")</f>
        <v>107.142857142857</v>
      </c>
      <c r="L26" s="15" t="n">
        <f aca="false">IF(C26="공격",K26/F26,"")</f>
        <v>53.5714285714286</v>
      </c>
    </row>
    <row r="27" customFormat="false" ht="16.5" hidden="false" customHeight="true" outlineLevel="0" collapsed="false">
      <c r="A27" s="22" t="s">
        <v>331</v>
      </c>
      <c r="B27" s="5" t="s">
        <v>332</v>
      </c>
      <c r="C27" s="5" t="s">
        <v>302</v>
      </c>
      <c r="D27" s="5" t="n">
        <v>3</v>
      </c>
      <c r="E27" s="5" t="s">
        <v>189</v>
      </c>
      <c r="F27" s="14" t="n">
        <v>1</v>
      </c>
      <c r="G27" s="23" t="n">
        <v>0.5</v>
      </c>
      <c r="H27" s="14"/>
      <c r="I27" s="10"/>
      <c r="J27" s="5" t="s">
        <v>333</v>
      </c>
      <c r="K27" s="15" t="str">
        <f aca="false">IF(C27="공격",$B$3*G27*H27*100/(100+$D$3*(1-I27)),"")</f>
        <v/>
      </c>
      <c r="L27" s="15" t="str">
        <f aca="false">IF(C27="공격",K27/F27,"")</f>
        <v/>
      </c>
    </row>
    <row r="28" customFormat="false" ht="16.5" hidden="false" customHeight="true" outlineLevel="0" collapsed="false">
      <c r="A28" s="22" t="s">
        <v>334</v>
      </c>
      <c r="B28" s="5" t="s">
        <v>335</v>
      </c>
      <c r="C28" s="5" t="s">
        <v>259</v>
      </c>
      <c r="D28" s="5" t="n">
        <v>4</v>
      </c>
      <c r="E28" s="5" t="s">
        <v>189</v>
      </c>
      <c r="F28" s="14" t="n">
        <v>2</v>
      </c>
      <c r="G28" s="23" t="n">
        <v>1.2</v>
      </c>
      <c r="H28" s="14" t="n">
        <v>1</v>
      </c>
      <c r="I28" s="10" t="n">
        <v>0</v>
      </c>
      <c r="J28" s="7" t="s">
        <v>336</v>
      </c>
      <c r="K28" s="15" t="n">
        <f aca="false">IF(C28="공격",$B$3*G28*H28*100/(100+$D$3*(1-I28)),"")</f>
        <v>85.7142857142857</v>
      </c>
      <c r="L28" s="15" t="n">
        <f aca="false">IF(C28="공격",K28/F28,"")</f>
        <v>42.8571428571429</v>
      </c>
    </row>
    <row r="29" customFormat="false" ht="16.5" hidden="false" customHeight="true" outlineLevel="0" collapsed="false">
      <c r="A29" s="22" t="s">
        <v>337</v>
      </c>
      <c r="B29" s="5" t="s">
        <v>338</v>
      </c>
      <c r="C29" s="5" t="s">
        <v>302</v>
      </c>
      <c r="D29" s="5" t="n">
        <v>3</v>
      </c>
      <c r="E29" s="5" t="s">
        <v>198</v>
      </c>
      <c r="F29" s="14" t="n">
        <v>1</v>
      </c>
      <c r="G29" s="23" t="n">
        <v>1</v>
      </c>
      <c r="H29" s="14"/>
      <c r="I29" s="10"/>
      <c r="J29" s="7" t="s">
        <v>339</v>
      </c>
      <c r="K29" s="15" t="str">
        <f aca="false">IF(C29="공격",$B$3*G29*H29*100/(100+$D$3*(1-I29)),"")</f>
        <v/>
      </c>
      <c r="L29" s="15" t="str">
        <f aca="false">IF(C29="공격",K29/F29,"")</f>
        <v/>
      </c>
    </row>
    <row r="30" customFormat="false" ht="16.5" hidden="false" customHeight="true" outlineLevel="0" collapsed="false">
      <c r="A30" s="22" t="s">
        <v>340</v>
      </c>
      <c r="B30" s="5" t="s">
        <v>341</v>
      </c>
      <c r="C30" s="5" t="s">
        <v>259</v>
      </c>
      <c r="D30" s="5" t="n">
        <v>4</v>
      </c>
      <c r="E30" s="5" t="s">
        <v>198</v>
      </c>
      <c r="F30" s="14" t="n">
        <v>1</v>
      </c>
      <c r="G30" s="23" t="n">
        <v>0.7</v>
      </c>
      <c r="H30" s="14" t="n">
        <v>1</v>
      </c>
      <c r="I30" s="10" t="n">
        <v>0</v>
      </c>
      <c r="J30" s="7" t="s">
        <v>342</v>
      </c>
      <c r="K30" s="15" t="n">
        <f aca="false">IF(C30="공격",$B$3*G30*H30*100/(100+$D$3*(1-I30)),"")</f>
        <v>50</v>
      </c>
      <c r="L30" s="15" t="n">
        <f aca="false">IF(C30="공격",K30/F30,"")</f>
        <v>50</v>
      </c>
    </row>
    <row r="31" customFormat="false" ht="16.5" hidden="false" customHeight="true" outlineLevel="0" collapsed="false">
      <c r="A31" s="22" t="s">
        <v>343</v>
      </c>
      <c r="B31" s="5" t="s">
        <v>344</v>
      </c>
      <c r="C31" s="5" t="s">
        <v>259</v>
      </c>
      <c r="D31" s="5" t="n">
        <v>4</v>
      </c>
      <c r="E31" s="5" t="s">
        <v>207</v>
      </c>
      <c r="F31" s="14" t="n">
        <v>2</v>
      </c>
      <c r="G31" s="23" t="n">
        <v>1.3</v>
      </c>
      <c r="H31" s="14" t="n">
        <v>1</v>
      </c>
      <c r="I31" s="10" t="n">
        <v>0</v>
      </c>
      <c r="J31" s="7" t="s">
        <v>345</v>
      </c>
      <c r="K31" s="15" t="n">
        <f aca="false">IF(C31="공격",$B$3*G31*H31*100/(100+$D$3*(1-I31)),"")</f>
        <v>92.8571428571429</v>
      </c>
      <c r="L31" s="15" t="n">
        <f aca="false">IF(C31="공격",K31/F31,"")</f>
        <v>46.4285714285714</v>
      </c>
    </row>
    <row r="32" customFormat="false" ht="16.5" hidden="false" customHeight="true" outlineLevel="0" collapsed="false">
      <c r="A32" s="22" t="s">
        <v>346</v>
      </c>
      <c r="B32" s="5" t="s">
        <v>347</v>
      </c>
      <c r="C32" s="5" t="s">
        <v>273</v>
      </c>
      <c r="D32" s="5" t="n">
        <v>1</v>
      </c>
      <c r="E32" s="5" t="s">
        <v>207</v>
      </c>
      <c r="F32" s="14" t="n">
        <v>1</v>
      </c>
      <c r="G32" s="23" t="n">
        <v>1.5</v>
      </c>
      <c r="H32" s="14"/>
      <c r="I32" s="10"/>
      <c r="J32" s="5" t="s">
        <v>348</v>
      </c>
      <c r="K32" s="15" t="str">
        <f aca="false">IF(C32="공격",$B$3*G32*H32*100/(100+$D$3*(1-I32)),"")</f>
        <v/>
      </c>
      <c r="L32" s="15" t="str">
        <f aca="false">IF(C32="공격",K32/F32,"")</f>
        <v/>
      </c>
    </row>
    <row r="33" customFormat="false" ht="16.5" hidden="false" customHeight="true" outlineLevel="0" collapsed="false">
      <c r="A33" s="22" t="s">
        <v>349</v>
      </c>
      <c r="B33" s="5" t="s">
        <v>350</v>
      </c>
      <c r="C33" s="5" t="s">
        <v>298</v>
      </c>
      <c r="D33" s="5" t="n">
        <v>2</v>
      </c>
      <c r="E33" s="5" t="s">
        <v>216</v>
      </c>
      <c r="F33" s="14" t="n">
        <v>1</v>
      </c>
      <c r="G33" s="23" t="n">
        <v>0.2</v>
      </c>
      <c r="H33" s="14"/>
      <c r="I33" s="10"/>
      <c r="J33" s="5" t="s">
        <v>351</v>
      </c>
      <c r="K33" s="15" t="str">
        <f aca="false">IF(C33="공격",$B$3*G33*H33*100/(100+$D$3*(1-I33)),"")</f>
        <v/>
      </c>
      <c r="L33" s="15" t="str">
        <f aca="false">IF(C33="공격",K33/F33,"")</f>
        <v/>
      </c>
    </row>
    <row r="34" customFormat="false" ht="16.5" hidden="false" customHeight="true" outlineLevel="0" collapsed="false">
      <c r="A34" s="22" t="s">
        <v>352</v>
      </c>
      <c r="B34" s="5" t="s">
        <v>353</v>
      </c>
      <c r="C34" s="5" t="s">
        <v>302</v>
      </c>
      <c r="D34" s="5" t="n">
        <v>3</v>
      </c>
      <c r="E34" s="5" t="s">
        <v>216</v>
      </c>
      <c r="F34" s="14" t="n">
        <v>1</v>
      </c>
      <c r="G34" s="9" t="n">
        <v>25</v>
      </c>
      <c r="H34" s="14"/>
      <c r="I34" s="10"/>
      <c r="J34" s="5" t="s">
        <v>354</v>
      </c>
      <c r="K34" s="15" t="str">
        <f aca="false">IF(C34="공격",$B$3*G34*H34*100/(100+$D$3*(1-I34)),"")</f>
        <v/>
      </c>
      <c r="L34" s="15" t="str">
        <f aca="false">IF(C34="공격",K34/F34,"")</f>
        <v/>
      </c>
    </row>
    <row r="35" customFormat="false" ht="16.5" hidden="false" customHeight="true" outlineLevel="0" collapsed="false">
      <c r="A35" s="22" t="s">
        <v>355</v>
      </c>
      <c r="B35" s="5" t="s">
        <v>356</v>
      </c>
      <c r="C35" s="5" t="s">
        <v>284</v>
      </c>
      <c r="D35" s="5" t="n">
        <v>2</v>
      </c>
      <c r="E35" s="5" t="s">
        <v>224</v>
      </c>
      <c r="F35" s="14" t="n">
        <v>2</v>
      </c>
      <c r="G35" s="9" t="n">
        <v>30</v>
      </c>
      <c r="H35" s="14"/>
      <c r="I35" s="10"/>
      <c r="J35" s="5" t="s">
        <v>357</v>
      </c>
      <c r="K35" s="15" t="str">
        <f aca="false">IF(C35="공격",$B$3*G35*H35*100/(100+$D$3*(1-I35)),"")</f>
        <v/>
      </c>
      <c r="L35" s="15" t="str">
        <f aca="false">IF(C35="공격",K35/F35,"")</f>
        <v/>
      </c>
    </row>
    <row r="36" customFormat="false" ht="16.5" hidden="false" customHeight="true" outlineLevel="0" collapsed="false">
      <c r="A36" s="22" t="s">
        <v>358</v>
      </c>
      <c r="B36" s="5" t="s">
        <v>359</v>
      </c>
      <c r="C36" s="5" t="s">
        <v>259</v>
      </c>
      <c r="D36" s="5" t="n">
        <v>4</v>
      </c>
      <c r="E36" s="5" t="s">
        <v>224</v>
      </c>
      <c r="F36" s="14" t="n">
        <v>1</v>
      </c>
      <c r="G36" s="23" t="n">
        <v>0.9</v>
      </c>
      <c r="H36" s="14" t="n">
        <v>1</v>
      </c>
      <c r="I36" s="10" t="n">
        <v>0</v>
      </c>
      <c r="J36" s="7" t="s">
        <v>360</v>
      </c>
      <c r="K36" s="15" t="n">
        <f aca="false">IF(C36="공격",$B$3*G36*H36*100/(100+$D$3*(1-I36)),"")</f>
        <v>64.2857142857143</v>
      </c>
      <c r="L36" s="15" t="n">
        <f aca="false">IF(C36="공격",K36/F36,"")</f>
        <v>64.2857142857143</v>
      </c>
    </row>
    <row r="37" customFormat="false" ht="16.5" hidden="false" customHeight="true" outlineLevel="0" collapsed="false">
      <c r="A37" s="22" t="s">
        <v>361</v>
      </c>
      <c r="B37" s="5" t="s">
        <v>362</v>
      </c>
      <c r="C37" s="5" t="s">
        <v>298</v>
      </c>
      <c r="D37" s="5" t="n">
        <v>2</v>
      </c>
      <c r="E37" s="5" t="s">
        <v>232</v>
      </c>
      <c r="F37" s="14" t="n">
        <v>1</v>
      </c>
      <c r="G37" s="23" t="n">
        <v>0.2</v>
      </c>
      <c r="H37" s="14"/>
      <c r="I37" s="10"/>
      <c r="J37" s="5" t="s">
        <v>363</v>
      </c>
      <c r="K37" s="15" t="str">
        <f aca="false">IF(C37="공격",$B$3*G37*H37*100/(100+$D$3*(1-I37)),"")</f>
        <v/>
      </c>
      <c r="L37" s="15" t="str">
        <f aca="false">IF(C37="공격",K37/F37,"")</f>
        <v/>
      </c>
    </row>
    <row r="38" customFormat="false" ht="16.5" hidden="false" customHeight="true" outlineLevel="0" collapsed="false">
      <c r="A38" s="22" t="s">
        <v>364</v>
      </c>
      <c r="B38" s="5" t="s">
        <v>365</v>
      </c>
      <c r="C38" s="5" t="s">
        <v>273</v>
      </c>
      <c r="D38" s="5" t="n">
        <v>1</v>
      </c>
      <c r="E38" s="5" t="s">
        <v>232</v>
      </c>
      <c r="F38" s="14" t="n">
        <v>2</v>
      </c>
      <c r="G38" s="23" t="n">
        <v>2</v>
      </c>
      <c r="H38" s="14"/>
      <c r="I38" s="10"/>
      <c r="J38" s="5" t="s">
        <v>366</v>
      </c>
      <c r="K38" s="15" t="str">
        <f aca="false">IF(C38="공격",$B$3*G38*H38*100/(100+$D$3*(1-I38)),"")</f>
        <v/>
      </c>
      <c r="L38" s="15" t="str">
        <f aca="false">IF(C38="공격",K38/F38,"")</f>
        <v/>
      </c>
    </row>
    <row r="40" customFormat="false" ht="15" hidden="false" customHeight="true" outlineLevel="0" collapsed="false">
      <c r="A40" s="3" t="s">
        <v>367</v>
      </c>
    </row>
    <row r="42" customFormat="false" ht="21" hidden="false" customHeight="true" outlineLevel="0" collapsed="false">
      <c r="A42" s="2" t="s">
        <v>368</v>
      </c>
    </row>
    <row r="43" customFormat="false" ht="32.25" hidden="false" customHeight="true" outlineLevel="0" collapsed="false">
      <c r="A43" s="4" t="s">
        <v>247</v>
      </c>
      <c r="B43" s="4" t="s">
        <v>369</v>
      </c>
      <c r="C43" s="4" t="s">
        <v>248</v>
      </c>
      <c r="D43" s="4" t="s">
        <v>370</v>
      </c>
    </row>
    <row r="44" customFormat="false" ht="16.5" hidden="false" customHeight="true" outlineLevel="0" collapsed="false">
      <c r="A44" s="13" t="s">
        <v>291</v>
      </c>
      <c r="B44" s="22" t="s">
        <v>371</v>
      </c>
      <c r="C44" s="22" t="n">
        <v>1</v>
      </c>
      <c r="D44" s="5" t="s">
        <v>372</v>
      </c>
    </row>
    <row r="45" customFormat="false" ht="16.5" hidden="false" customHeight="true" outlineLevel="0" collapsed="false">
      <c r="A45" s="13" t="s">
        <v>273</v>
      </c>
      <c r="B45" s="22" t="s">
        <v>373</v>
      </c>
      <c r="C45" s="22" t="n">
        <v>1</v>
      </c>
      <c r="D45" s="5" t="s">
        <v>374</v>
      </c>
    </row>
    <row r="46" customFormat="false" ht="16.5" hidden="false" customHeight="true" outlineLevel="0" collapsed="false">
      <c r="A46" s="13" t="s">
        <v>280</v>
      </c>
      <c r="B46" s="22" t="s">
        <v>375</v>
      </c>
      <c r="C46" s="22" t="n">
        <v>1</v>
      </c>
      <c r="D46" s="5" t="s">
        <v>376</v>
      </c>
    </row>
    <row r="47" customFormat="false" ht="16.5" hidden="false" customHeight="true" outlineLevel="0" collapsed="false">
      <c r="A47" s="13" t="s">
        <v>284</v>
      </c>
      <c r="B47" s="22" t="s">
        <v>377</v>
      </c>
      <c r="C47" s="22" t="n">
        <v>2</v>
      </c>
      <c r="D47" s="5" t="s">
        <v>378</v>
      </c>
    </row>
    <row r="48" customFormat="false" ht="15" hidden="false" customHeight="true" outlineLevel="0" collapsed="false">
      <c r="A48" s="13" t="s">
        <v>298</v>
      </c>
      <c r="B48" s="22" t="s">
        <v>379</v>
      </c>
      <c r="C48" s="22" t="n">
        <v>2</v>
      </c>
      <c r="D48" s="5" t="s">
        <v>380</v>
      </c>
    </row>
    <row r="49" customFormat="false" ht="16.5" hidden="false" customHeight="true" outlineLevel="0" collapsed="false">
      <c r="A49" s="13" t="s">
        <v>302</v>
      </c>
      <c r="B49" s="22" t="s">
        <v>381</v>
      </c>
      <c r="C49" s="22" t="n">
        <v>3</v>
      </c>
      <c r="D49" s="5" t="s">
        <v>382</v>
      </c>
    </row>
    <row r="50" customFormat="false" ht="16.5" hidden="false" customHeight="true" outlineLevel="0" collapsed="false">
      <c r="A50" s="13" t="s">
        <v>259</v>
      </c>
      <c r="B50" s="22" t="s">
        <v>383</v>
      </c>
      <c r="C50" s="22" t="n">
        <v>4</v>
      </c>
      <c r="D50" s="7" t="s">
        <v>384</v>
      </c>
    </row>
    <row r="52" customFormat="false" ht="15" hidden="false" customHeight="true" outlineLevel="0" collapsed="false">
      <c r="A52" s="3" t="s">
        <v>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0"/>
    <col collapsed="false" customWidth="true" hidden="false" outlineLevel="0" max="3" min="3" style="1" width="9"/>
    <col collapsed="false" customWidth="true" hidden="false" outlineLevel="0" max="4" min="4" style="1" width="11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28"/>
    <col collapsed="false" customWidth="true" hidden="false" outlineLevel="0" max="8" min="8" style="1" width="8"/>
  </cols>
  <sheetData>
    <row r="1" customFormat="false" ht="21" hidden="false" customHeight="true" outlineLevel="0" collapsed="false">
      <c r="A1" s="2" t="s">
        <v>386</v>
      </c>
    </row>
    <row r="2" customFormat="false" ht="15" hidden="false" customHeight="true" outlineLevel="0" collapsed="false">
      <c r="A2" s="3" t="s">
        <v>387</v>
      </c>
    </row>
    <row r="3" customFormat="false" ht="15" hidden="false" customHeight="true" outlineLevel="0" collapsed="false">
      <c r="A3" s="19" t="s">
        <v>388</v>
      </c>
      <c r="C3" s="14" t="n">
        <v>2</v>
      </c>
      <c r="D3" s="19" t="s">
        <v>389</v>
      </c>
      <c r="F3" s="18" t="n">
        <f aca="false">시간예산!G5</f>
        <v>7</v>
      </c>
    </row>
    <row r="4" customFormat="false" ht="30" hidden="false" customHeight="true" outlineLevel="0" collapsed="false">
      <c r="A4" s="4" t="s">
        <v>390</v>
      </c>
      <c r="B4" s="4" t="s">
        <v>254</v>
      </c>
      <c r="C4" s="4" t="s">
        <v>391</v>
      </c>
      <c r="D4" s="4" t="s">
        <v>392</v>
      </c>
      <c r="E4" s="4" t="s">
        <v>393</v>
      </c>
      <c r="F4" s="4" t="s">
        <v>394</v>
      </c>
      <c r="G4" s="4" t="s">
        <v>395</v>
      </c>
      <c r="H4" s="4" t="s">
        <v>157</v>
      </c>
    </row>
    <row r="5" customFormat="false" ht="16.5" hidden="false" customHeight="true" outlineLevel="0" collapsed="false">
      <c r="A5" s="13" t="s">
        <v>396</v>
      </c>
      <c r="B5" s="5" t="s">
        <v>397</v>
      </c>
      <c r="C5" s="10" t="n">
        <v>1</v>
      </c>
      <c r="D5" s="14" t="n">
        <v>5</v>
      </c>
      <c r="E5" s="5" t="n">
        <f aca="false">1+INT((설정값!$B$10-$C$3)/D5)</f>
        <v>2</v>
      </c>
      <c r="F5" s="5" t="n">
        <f aca="false">1+INT(($F$3-$C$3)/D5)</f>
        <v>2</v>
      </c>
      <c r="G5" s="5" t="s">
        <v>398</v>
      </c>
      <c r="H5" s="5" t="s">
        <v>399</v>
      </c>
    </row>
    <row r="6" customFormat="false" ht="16.5" hidden="false" customHeight="true" outlineLevel="0" collapsed="false">
      <c r="A6" s="13" t="s">
        <v>400</v>
      </c>
      <c r="B6" s="5" t="s">
        <v>401</v>
      </c>
      <c r="C6" s="10" t="n">
        <v>0.5</v>
      </c>
      <c r="D6" s="14" t="n">
        <v>4</v>
      </c>
      <c r="E6" s="5" t="n">
        <f aca="false">1+INT((설정값!$B$10-$C$3)/D6)</f>
        <v>3</v>
      </c>
      <c r="F6" s="5" t="n">
        <f aca="false">1+INT(($F$3-$C$3)/D6)</f>
        <v>2</v>
      </c>
      <c r="G6" s="5" t="s">
        <v>402</v>
      </c>
      <c r="H6" s="5" t="s">
        <v>403</v>
      </c>
    </row>
    <row r="7" customFormat="false" ht="16.5" hidden="false" customHeight="true" outlineLevel="0" collapsed="false">
      <c r="A7" s="13" t="s">
        <v>404</v>
      </c>
      <c r="B7" s="5" t="s">
        <v>405</v>
      </c>
      <c r="C7" s="14"/>
      <c r="D7" s="14" t="n">
        <v>4</v>
      </c>
      <c r="E7" s="5" t="n">
        <f aca="false">1+INT((설정값!$B$10-$C$3)/D7)</f>
        <v>3</v>
      </c>
      <c r="F7" s="5" t="n">
        <f aca="false">1+INT(($F$3-$C$3)/D7)</f>
        <v>2</v>
      </c>
      <c r="G7" s="5" t="s">
        <v>406</v>
      </c>
      <c r="H7" s="5" t="s">
        <v>407</v>
      </c>
    </row>
    <row r="8" customFormat="false" ht="16.5" hidden="false" customHeight="true" outlineLevel="0" collapsed="false">
      <c r="A8" s="13" t="s">
        <v>408</v>
      </c>
      <c r="B8" s="5" t="s">
        <v>409</v>
      </c>
      <c r="C8" s="10" t="n">
        <v>0.15</v>
      </c>
      <c r="D8" s="14" t="n">
        <v>5</v>
      </c>
      <c r="E8" s="5" t="n">
        <f aca="false">1+INT((설정값!$B$10-$C$3)/D8)</f>
        <v>2</v>
      </c>
      <c r="F8" s="5" t="n">
        <f aca="false">1+INT(($F$3-$C$3)/D8)</f>
        <v>2</v>
      </c>
      <c r="G8" s="5"/>
      <c r="H8" s="5" t="s">
        <v>410</v>
      </c>
    </row>
    <row r="9" customFormat="false" ht="16.5" hidden="false" customHeight="true" outlineLevel="0" collapsed="false">
      <c r="A9" s="13" t="s">
        <v>411</v>
      </c>
      <c r="B9" s="5" t="s">
        <v>412</v>
      </c>
      <c r="C9" s="14"/>
      <c r="D9" s="14" t="n">
        <v>5</v>
      </c>
      <c r="E9" s="5" t="n">
        <f aca="false">1+INT((설정값!$B$10-$C$3)/D9)</f>
        <v>2</v>
      </c>
      <c r="F9" s="5" t="n">
        <f aca="false">1+INT(($F$3-$C$3)/D9)</f>
        <v>2</v>
      </c>
      <c r="G9" s="5" t="s">
        <v>413</v>
      </c>
      <c r="H9" s="5" t="s">
        <v>414</v>
      </c>
    </row>
    <row r="10" customFormat="false" ht="16.5" hidden="false" customHeight="true" outlineLevel="0" collapsed="false">
      <c r="A10" s="13" t="s">
        <v>415</v>
      </c>
      <c r="B10" s="5" t="s">
        <v>416</v>
      </c>
      <c r="C10" s="9" t="n">
        <v>2</v>
      </c>
      <c r="D10" s="14" t="n">
        <v>5</v>
      </c>
      <c r="E10" s="5" t="n">
        <f aca="false">1+INT((설정값!$B$10-$C$3)/D10)</f>
        <v>2</v>
      </c>
      <c r="F10" s="5" t="n">
        <f aca="false">1+INT(($F$3-$C$3)/D10)</f>
        <v>2</v>
      </c>
      <c r="G10" s="5" t="s">
        <v>417</v>
      </c>
      <c r="H10" s="5" t="s">
        <v>418</v>
      </c>
    </row>
    <row r="11" customFormat="false" ht="16.5" hidden="false" customHeight="true" outlineLevel="0" collapsed="false">
      <c r="A11" s="13" t="s">
        <v>419</v>
      </c>
      <c r="B11" s="5" t="s">
        <v>420</v>
      </c>
      <c r="C11" s="9" t="n">
        <v>2</v>
      </c>
      <c r="D11" s="14" t="n">
        <v>4</v>
      </c>
      <c r="E11" s="5" t="n">
        <f aca="false">1+INT((설정값!$B$10-$C$3)/D11)</f>
        <v>3</v>
      </c>
      <c r="F11" s="5" t="n">
        <f aca="false">1+INT(($F$3-$C$3)/D11)</f>
        <v>2</v>
      </c>
      <c r="G11" s="5" t="s">
        <v>421</v>
      </c>
      <c r="H11" s="5" t="s">
        <v>422</v>
      </c>
    </row>
    <row r="12" customFormat="false" ht="16.5" hidden="false" customHeight="true" outlineLevel="0" collapsed="false">
      <c r="A12" s="13" t="s">
        <v>423</v>
      </c>
      <c r="B12" s="5" t="s">
        <v>424</v>
      </c>
      <c r="C12" s="10" t="n">
        <v>0.3</v>
      </c>
      <c r="D12" s="14" t="n">
        <v>4</v>
      </c>
      <c r="E12" s="5" t="n">
        <f aca="false">1+INT((설정값!$B$10-$C$3)/D12)</f>
        <v>3</v>
      </c>
      <c r="F12" s="5" t="n">
        <f aca="false">1+INT(($F$3-$C$3)/D12)</f>
        <v>2</v>
      </c>
      <c r="G12" s="5" t="s">
        <v>425</v>
      </c>
      <c r="H12" s="5" t="s">
        <v>426</v>
      </c>
    </row>
    <row r="14" customFormat="false" ht="15" hidden="false" customHeight="true" outlineLevel="0" collapsed="false">
      <c r="A14" s="3" t="s">
        <v>427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10" min="2" style="1" width="11"/>
  </cols>
  <sheetData>
    <row r="1" customFormat="false" ht="17.25" hidden="false" customHeight="true" outlineLevel="0" collapsed="false">
      <c r="A1" s="2" t="s">
        <v>428</v>
      </c>
    </row>
    <row r="2" customFormat="false" ht="15" hidden="false" customHeight="true" outlineLevel="0" collapsed="false">
      <c r="A2" s="3" t="s">
        <v>429</v>
      </c>
    </row>
    <row r="4" customFormat="false" ht="15" hidden="false" customHeight="true" outlineLevel="0" collapsed="false">
      <c r="A4" s="13" t="s">
        <v>430</v>
      </c>
      <c r="B4" s="24" t="s">
        <v>216</v>
      </c>
    </row>
    <row r="5" customFormat="false" ht="15" hidden="false" customHeight="true" outlineLevel="0" collapsed="false">
      <c r="A5" s="13" t="s">
        <v>431</v>
      </c>
      <c r="B5" s="24" t="s">
        <v>160</v>
      </c>
    </row>
    <row r="6" customFormat="false" ht="16.5" hidden="false" customHeight="true" outlineLevel="0" collapsed="false">
      <c r="A6" s="13" t="s">
        <v>432</v>
      </c>
      <c r="B6" s="14" t="s">
        <v>262</v>
      </c>
    </row>
    <row r="7" customFormat="false" ht="15" hidden="false" customHeight="true" outlineLevel="0" collapsed="false">
      <c r="A7" s="13" t="s">
        <v>29</v>
      </c>
      <c r="B7" s="14" t="n">
        <v>7</v>
      </c>
    </row>
    <row r="8" customFormat="false" ht="16.5" hidden="false" customHeight="true" outlineLevel="0" collapsed="false">
      <c r="A8" s="13" t="s">
        <v>433</v>
      </c>
      <c r="B8" s="10" t="n">
        <v>0.3</v>
      </c>
    </row>
    <row r="9" customFormat="false" ht="15" hidden="false" customHeight="true" outlineLevel="0" collapsed="false">
      <c r="A9" s="13" t="s">
        <v>434</v>
      </c>
      <c r="B9" s="24" t="s">
        <v>435</v>
      </c>
    </row>
    <row r="10" customFormat="false" ht="15" hidden="false" customHeight="true" outlineLevel="0" collapsed="false">
      <c r="A10" s="13" t="s">
        <v>436</v>
      </c>
      <c r="B10" s="14" t="n">
        <v>0</v>
      </c>
    </row>
    <row r="12" customFormat="false" ht="16.5" hidden="false" customHeight="true" outlineLevel="0" collapsed="false">
      <c r="A12" s="5" t="s">
        <v>437</v>
      </c>
      <c r="B12" s="15" t="n">
        <f aca="false">INDEX(캐릭터!$G$5:$G$13,MATCH(B4,캐릭터!$A$5:$A$13,0))</f>
        <v>115</v>
      </c>
    </row>
    <row r="13" customFormat="false" ht="16.5" hidden="false" customHeight="true" outlineLevel="0" collapsed="false">
      <c r="A13" s="5" t="s">
        <v>438</v>
      </c>
      <c r="B13" s="15" t="n">
        <f aca="false">INDEX(캐릭터!$F$5:$F$13,MATCH(B5,캐릭터!$A$5:$A$13,0))</f>
        <v>1200</v>
      </c>
    </row>
    <row r="14" customFormat="false" ht="16.5" hidden="false" customHeight="true" outlineLevel="0" collapsed="false">
      <c r="A14" s="5" t="s">
        <v>439</v>
      </c>
      <c r="B14" s="15" t="n">
        <f aca="false">INDEX(캐릭터!$H$5:$H$13,MATCH(B5,캐릭터!$A$5:$A$13,0))</f>
        <v>45</v>
      </c>
    </row>
    <row r="15" customFormat="false" ht="15" hidden="false" customHeight="true" outlineLevel="0" collapsed="false">
      <c r="A15" s="5" t="s">
        <v>440</v>
      </c>
      <c r="B15" s="5" t="str">
        <f aca="false">INDEX(전투카드!$C$5:$C$38,MATCH(B6,전투카드!$A$5:$A$38,0))</f>
        <v>공격</v>
      </c>
    </row>
    <row r="16" customFormat="false" ht="15" hidden="false" customHeight="true" outlineLevel="0" collapsed="false">
      <c r="A16" s="5" t="s">
        <v>441</v>
      </c>
      <c r="B16" s="25" t="n">
        <f aca="false">INDEX(전투카드!$G$5:$G$38,MATCH(B6,전투카드!$A$5:$A$38,0))</f>
        <v>1.8</v>
      </c>
    </row>
    <row r="17" customFormat="false" ht="15" hidden="false" customHeight="true" outlineLevel="0" collapsed="false">
      <c r="A17" s="5" t="s">
        <v>252</v>
      </c>
      <c r="B17" s="15" t="n">
        <f aca="false">IF(INDEX(전투카드!$H$5:$H$38,MATCH(B6,전투카드!$A$5:$A$38,0))="",1,INDEX(전투카드!$H$5:$H$38,MATCH(B6,전투카드!$A$5:$A$38,0)))</f>
        <v>1</v>
      </c>
    </row>
    <row r="18" customFormat="false" ht="15" hidden="false" customHeight="true" outlineLevel="0" collapsed="false">
      <c r="A18" s="5" t="s">
        <v>253</v>
      </c>
      <c r="B18" s="26" t="n">
        <f aca="false">IF(INDEX(전투카드!$I$5:$I$38,MATCH(B6,전투카드!$A$5:$A$38,0))="",0,INDEX(전투카드!$I$5:$I$38,MATCH(B6,전투카드!$A$5:$A$38,0)))</f>
        <v>0</v>
      </c>
    </row>
    <row r="19" customFormat="false" ht="15" hidden="false" customHeight="true" outlineLevel="0" collapsed="false">
      <c r="A19" s="5" t="s">
        <v>442</v>
      </c>
      <c r="B19" s="25" t="n">
        <f aca="false">IF(B7&gt;=설정값!$B$11,1+(B7-설정값!$B$11+1)*설정값!$B$12,1)</f>
        <v>1.25</v>
      </c>
    </row>
    <row r="20" customFormat="false" ht="15" hidden="false" customHeight="true" outlineLevel="0" collapsed="false">
      <c r="A20" s="5" t="s">
        <v>73</v>
      </c>
      <c r="B20" s="16" t="n">
        <f aca="false">IF(B9="예",설정값!$B$26,1)</f>
        <v>1</v>
      </c>
    </row>
    <row r="21" customFormat="false" ht="15" hidden="false" customHeight="true" outlineLevel="0" collapsed="false">
      <c r="A21" s="5" t="s">
        <v>443</v>
      </c>
      <c r="B21" s="27" t="n">
        <f aca="false">100/(100+B14*(1-B18))</f>
        <v>0.689655172413793</v>
      </c>
    </row>
    <row r="22" customFormat="false" ht="16.5" hidden="false" customHeight="true" outlineLevel="0" collapsed="false">
      <c r="A22" s="5" t="s">
        <v>444</v>
      </c>
      <c r="B22" s="15" t="n">
        <f aca="false">IF(B15="공격",B12*B16*B17*(1+B8)*B21*B20*B19,0)</f>
        <v>231.98275862069</v>
      </c>
    </row>
    <row r="23" customFormat="false" ht="15" hidden="false" customHeight="true" outlineLevel="0" collapsed="false">
      <c r="A23" s="5" t="s">
        <v>445</v>
      </c>
      <c r="B23" s="15" t="n">
        <f aca="false">MAX(0,B22-B10)</f>
        <v>231.98275862069</v>
      </c>
    </row>
    <row r="24" customFormat="false" ht="16.5" hidden="false" customHeight="true" outlineLevel="0" collapsed="false">
      <c r="A24" s="5" t="s">
        <v>446</v>
      </c>
      <c r="B24" s="28" t="n">
        <f aca="false">B23/B13</f>
        <v>0.193318965517241</v>
      </c>
    </row>
    <row r="25" customFormat="false" ht="16.5" hidden="false" customHeight="true" outlineLevel="0" collapsed="false">
      <c r="A25" s="5" t="s">
        <v>447</v>
      </c>
      <c r="B25" s="15" t="n">
        <f aca="false">IF(B23&gt;0,ROUNDUP(B13/B23,0),"-")</f>
        <v>6</v>
      </c>
    </row>
    <row r="27" customFormat="false" ht="16.5" hidden="false" customHeight="true" outlineLevel="0" collapsed="false">
      <c r="A27" s="19" t="s">
        <v>448</v>
      </c>
    </row>
    <row r="28" customFormat="false" ht="16.5" hidden="false" customHeight="true" outlineLevel="0" collapsed="false">
      <c r="A28" s="13" t="s">
        <v>449</v>
      </c>
      <c r="B28" s="13" t="s">
        <v>160</v>
      </c>
      <c r="C28" s="13" t="s">
        <v>171</v>
      </c>
      <c r="D28" s="13" t="s">
        <v>180</v>
      </c>
      <c r="E28" s="13" t="s">
        <v>189</v>
      </c>
      <c r="F28" s="13" t="s">
        <v>198</v>
      </c>
      <c r="G28" s="13" t="s">
        <v>207</v>
      </c>
      <c r="H28" s="13" t="s">
        <v>216</v>
      </c>
      <c r="I28" s="13" t="s">
        <v>224</v>
      </c>
      <c r="J28" s="13" t="s">
        <v>232</v>
      </c>
    </row>
    <row r="29" customFormat="false" ht="15" hidden="false" customHeight="true" outlineLevel="0" collapsed="false">
      <c r="A29" s="13" t="s">
        <v>160</v>
      </c>
      <c r="B29" s="28" t="n">
        <f aca="false">INDEX(캐릭터!$G$5:$G$13,MATCH($A29,캐릭터!$A$5:$A$13,0))*INDEX(전투카드!$G$5:$G$38,MATCH("C02",전투카드!$A$5:$A$38,0))*100/(100+INDEX(캐릭터!$H$5:$H$13,MATCH(B$28,캐릭터!$A$5:$A$13,0)))/INDEX(캐릭터!$F$5:$F$13,MATCH(B$28,캐릭터!$A$5:$A$13,0))</f>
        <v>0.0879310344827586</v>
      </c>
      <c r="C29" s="28" t="n">
        <f aca="false">INDEX(캐릭터!$G$5:$G$13,MATCH($A29,캐릭터!$A$5:$A$13,0))*INDEX(전투카드!$G$5:$G$38,MATCH("C02",전투카드!$A$5:$A$38,0))*100/(100+INDEX(캐릭터!$H$5:$H$13,MATCH(C$28,캐릭터!$A$5:$A$13,0)))/INDEX(캐릭터!$F$5:$F$13,MATCH(C$28,캐릭터!$A$5:$A$13,0))</f>
        <v>0.10457963089542</v>
      </c>
      <c r="D29" s="28" t="n">
        <f aca="false">INDEX(캐릭터!$G$5:$G$13,MATCH($A29,캐릭터!$A$5:$A$13,0))*INDEX(전투카드!$G$5:$G$38,MATCH("C02",전투카드!$A$5:$A$38,0))*100/(100+INDEX(캐릭터!$H$5:$H$13,MATCH(D$28,캐릭터!$A$5:$A$13,0)))/INDEX(캐릭터!$F$5:$F$13,MATCH(D$28,캐릭터!$A$5:$A$13,0))</f>
        <v>0.115037593984962</v>
      </c>
      <c r="E29" s="28" t="n">
        <f aca="false">INDEX(캐릭터!$G$5:$G$13,MATCH($A29,캐릭터!$A$5:$A$13,0))*INDEX(전투카드!$G$5:$G$38,MATCH("C02",전투카드!$A$5:$A$38,0))*100/(100+INDEX(캐릭터!$H$5:$H$13,MATCH(E$28,캐릭터!$A$5:$A$13,0)))/INDEX(캐릭터!$F$5:$F$13,MATCH(E$28,캐릭터!$A$5:$A$13,0))</f>
        <v>0.0971428571428571</v>
      </c>
      <c r="F29" s="28" t="n">
        <f aca="false">INDEX(캐릭터!$G$5:$G$13,MATCH($A29,캐릭터!$A$5:$A$13,0))*INDEX(전투카드!$G$5:$G$38,MATCH("C02",전투카드!$A$5:$A$38,0))*100/(100+INDEX(캐릭터!$H$5:$H$13,MATCH(F$28,캐릭터!$A$5:$A$13,0)))/INDEX(캐릭터!$F$5:$F$13,MATCH(F$28,캐릭터!$A$5:$A$13,0))</f>
        <v>0.113333333333333</v>
      </c>
      <c r="G29" s="28" t="n">
        <f aca="false">INDEX(캐릭터!$G$5:$G$13,MATCH($A29,캐릭터!$A$5:$A$13,0))*INDEX(전투카드!$G$5:$G$38,MATCH("C02",전투카드!$A$5:$A$38,0))*100/(100+INDEX(캐릭터!$H$5:$H$13,MATCH(G$28,캐릭터!$A$5:$A$13,0)))/INDEX(캐릭터!$F$5:$F$13,MATCH(G$28,캐릭터!$A$5:$A$13,0))</f>
        <v>0.100492610837438</v>
      </c>
      <c r="H29" s="28" t="n">
        <f aca="false">INDEX(캐릭터!$G$5:$G$13,MATCH($A29,캐릭터!$A$5:$A$13,0))*INDEX(전투카드!$G$5:$G$38,MATCH("C02",전투카드!$A$5:$A$38,0))*100/(100+INDEX(캐릭터!$H$5:$H$13,MATCH(H$28,캐릭터!$A$5:$A$13,0)))/INDEX(캐릭터!$F$5:$F$13,MATCH(H$28,캐릭터!$A$5:$A$13,0))</f>
        <v>0.128787878787879</v>
      </c>
      <c r="I29" s="28" t="n">
        <f aca="false">INDEX(캐릭터!$G$5:$G$13,MATCH($A29,캐릭터!$A$5:$A$13,0))*INDEX(전투카드!$G$5:$G$38,MATCH("C02",전투카드!$A$5:$A$38,0))*100/(100+INDEX(캐릭터!$H$5:$H$13,MATCH(I$28,캐릭터!$A$5:$A$13,0)))/INDEX(캐릭터!$F$5:$F$13,MATCH(I$28,캐릭터!$A$5:$A$13,0))</f>
        <v>0.113957991955906</v>
      </c>
      <c r="J29" s="28" t="n">
        <f aca="false">INDEX(캐릭터!$G$5:$G$13,MATCH($A29,캐릭터!$A$5:$A$13,0))*INDEX(전투카드!$G$5:$G$38,MATCH("C02",전투카드!$A$5:$A$38,0))*100/(100+INDEX(캐릭터!$H$5:$H$13,MATCH(J$28,캐릭터!$A$5:$A$13,0)))/INDEX(캐릭터!$F$5:$F$13,MATCH(J$28,캐릭터!$A$5:$A$13,0))</f>
        <v>0.0836065573770492</v>
      </c>
    </row>
    <row r="30" customFormat="false" ht="15" hidden="false" customHeight="true" outlineLevel="0" collapsed="false">
      <c r="A30" s="13" t="s">
        <v>171</v>
      </c>
      <c r="B30" s="28" t="n">
        <f aca="false">INDEX(캐릭터!$G$5:$G$13,MATCH($A30,캐릭터!$A$5:$A$13,0))*INDEX(전투카드!$G$5:$G$38,MATCH("C02",전투카드!$A$5:$A$38,0))*100/(100+INDEX(캐릭터!$H$5:$H$13,MATCH(B$28,캐릭터!$A$5:$A$13,0)))/INDEX(캐릭터!$F$5:$F$13,MATCH(B$28,캐릭터!$A$5:$A$13,0))</f>
        <v>0.111724137931034</v>
      </c>
      <c r="C30" s="28" t="n">
        <f aca="false">INDEX(캐릭터!$G$5:$G$13,MATCH($A30,캐릭터!$A$5:$A$13,0))*INDEX(전투카드!$G$5:$G$38,MATCH("C02",전투카드!$A$5:$A$38,0))*100/(100+INDEX(캐릭터!$H$5:$H$13,MATCH(C$28,캐릭터!$A$5:$A$13,0)))/INDEX(캐릭터!$F$5:$F$13,MATCH(C$28,캐릭터!$A$5:$A$13,0))</f>
        <v>0.132877648667122</v>
      </c>
      <c r="D30" s="28" t="n">
        <f aca="false">INDEX(캐릭터!$G$5:$G$13,MATCH($A30,캐릭터!$A$5:$A$13,0))*INDEX(전투카드!$G$5:$G$38,MATCH("C02",전투카드!$A$5:$A$38,0))*100/(100+INDEX(캐릭터!$H$5:$H$13,MATCH(D$28,캐릭터!$A$5:$A$13,0)))/INDEX(캐릭터!$F$5:$F$13,MATCH(D$28,캐릭터!$A$5:$A$13,0))</f>
        <v>0.146165413533835</v>
      </c>
      <c r="E30" s="28" t="n">
        <f aca="false">INDEX(캐릭터!$G$5:$G$13,MATCH($A30,캐릭터!$A$5:$A$13,0))*INDEX(전투카드!$G$5:$G$38,MATCH("C02",전투카드!$A$5:$A$38,0))*100/(100+INDEX(캐릭터!$H$5:$H$13,MATCH(E$28,캐릭터!$A$5:$A$13,0)))/INDEX(캐릭터!$F$5:$F$13,MATCH(E$28,캐릭터!$A$5:$A$13,0))</f>
        <v>0.123428571428571</v>
      </c>
      <c r="F30" s="28" t="n">
        <f aca="false">INDEX(캐릭터!$G$5:$G$13,MATCH($A30,캐릭터!$A$5:$A$13,0))*INDEX(전투카드!$G$5:$G$38,MATCH("C02",전투카드!$A$5:$A$38,0))*100/(100+INDEX(캐릭터!$H$5:$H$13,MATCH(F$28,캐릭터!$A$5:$A$13,0)))/INDEX(캐릭터!$F$5:$F$13,MATCH(F$28,캐릭터!$A$5:$A$13,0))</f>
        <v>0.144</v>
      </c>
      <c r="G30" s="28" t="n">
        <f aca="false">INDEX(캐릭터!$G$5:$G$13,MATCH($A30,캐릭터!$A$5:$A$13,0))*INDEX(전투카드!$G$5:$G$38,MATCH("C02",전투카드!$A$5:$A$38,0))*100/(100+INDEX(캐릭터!$H$5:$H$13,MATCH(G$28,캐릭터!$A$5:$A$13,0)))/INDEX(캐릭터!$F$5:$F$13,MATCH(G$28,캐릭터!$A$5:$A$13,0))</f>
        <v>0.127684729064039</v>
      </c>
      <c r="H30" s="28" t="n">
        <f aca="false">INDEX(캐릭터!$G$5:$G$13,MATCH($A30,캐릭터!$A$5:$A$13,0))*INDEX(전투카드!$G$5:$G$38,MATCH("C02",전투카드!$A$5:$A$38,0))*100/(100+INDEX(캐릭터!$H$5:$H$13,MATCH(H$28,캐릭터!$A$5:$A$13,0)))/INDEX(캐릭터!$F$5:$F$13,MATCH(H$28,캐릭터!$A$5:$A$13,0))</f>
        <v>0.163636363636364</v>
      </c>
      <c r="I30" s="28" t="n">
        <f aca="false">INDEX(캐릭터!$G$5:$G$13,MATCH($A30,캐릭터!$A$5:$A$13,0))*INDEX(전투카드!$G$5:$G$38,MATCH("C02",전투카드!$A$5:$A$38,0))*100/(100+INDEX(캐릭터!$H$5:$H$13,MATCH(I$28,캐릭터!$A$5:$A$13,0)))/INDEX(캐릭터!$F$5:$F$13,MATCH(I$28,캐릭터!$A$5:$A$13,0))</f>
        <v>0.144793683896916</v>
      </c>
      <c r="J30" s="28" t="n">
        <f aca="false">INDEX(캐릭터!$G$5:$G$13,MATCH($A30,캐릭터!$A$5:$A$13,0))*INDEX(전투카드!$G$5:$G$38,MATCH("C02",전투카드!$A$5:$A$38,0))*100/(100+INDEX(캐릭터!$H$5:$H$13,MATCH(J$28,캐릭터!$A$5:$A$13,0)))/INDEX(캐릭터!$F$5:$F$13,MATCH(J$28,캐릭터!$A$5:$A$13,0))</f>
        <v>0.106229508196721</v>
      </c>
    </row>
    <row r="31" customFormat="false" ht="15" hidden="false" customHeight="true" outlineLevel="0" collapsed="false">
      <c r="A31" s="13" t="s">
        <v>180</v>
      </c>
      <c r="B31" s="28" t="n">
        <f aca="false">INDEX(캐릭터!$G$5:$G$13,MATCH($A31,캐릭터!$A$5:$A$13,0))*INDEX(전투카드!$G$5:$G$38,MATCH("C02",전투카드!$A$5:$A$38,0))*100/(100+INDEX(캐릭터!$H$5:$H$13,MATCH(B$28,캐릭터!$A$5:$A$13,0)))/INDEX(캐릭터!$F$5:$F$13,MATCH(B$28,캐릭터!$A$5:$A$13,0))</f>
        <v>0.103448275862069</v>
      </c>
      <c r="C31" s="28" t="n">
        <f aca="false">INDEX(캐릭터!$G$5:$G$13,MATCH($A31,캐릭터!$A$5:$A$13,0))*INDEX(전투카드!$G$5:$G$38,MATCH("C02",전투카드!$A$5:$A$38,0))*100/(100+INDEX(캐릭터!$H$5:$H$13,MATCH(C$28,캐릭터!$A$5:$A$13,0)))/INDEX(캐릭터!$F$5:$F$13,MATCH(C$28,캐릭터!$A$5:$A$13,0))</f>
        <v>0.123034859876965</v>
      </c>
      <c r="D31" s="28" t="n">
        <f aca="false">INDEX(캐릭터!$G$5:$G$13,MATCH($A31,캐릭터!$A$5:$A$13,0))*INDEX(전투카드!$G$5:$G$38,MATCH("C02",전투카드!$A$5:$A$38,0))*100/(100+INDEX(캐릭터!$H$5:$H$13,MATCH(D$28,캐릭터!$A$5:$A$13,0)))/INDEX(캐릭터!$F$5:$F$13,MATCH(D$28,캐릭터!$A$5:$A$13,0))</f>
        <v>0.135338345864662</v>
      </c>
      <c r="E31" s="28" t="n">
        <f aca="false">INDEX(캐릭터!$G$5:$G$13,MATCH($A31,캐릭터!$A$5:$A$13,0))*INDEX(전투카드!$G$5:$G$38,MATCH("C02",전투카드!$A$5:$A$38,0))*100/(100+INDEX(캐릭터!$H$5:$H$13,MATCH(E$28,캐릭터!$A$5:$A$13,0)))/INDEX(캐릭터!$F$5:$F$13,MATCH(E$28,캐릭터!$A$5:$A$13,0))</f>
        <v>0.114285714285714</v>
      </c>
      <c r="F31" s="28" t="n">
        <f aca="false">INDEX(캐릭터!$G$5:$G$13,MATCH($A31,캐릭터!$A$5:$A$13,0))*INDEX(전투카드!$G$5:$G$38,MATCH("C02",전투카드!$A$5:$A$38,0))*100/(100+INDEX(캐릭터!$H$5:$H$13,MATCH(F$28,캐릭터!$A$5:$A$13,0)))/INDEX(캐릭터!$F$5:$F$13,MATCH(F$28,캐릭터!$A$5:$A$13,0))</f>
        <v>0.133333333333333</v>
      </c>
      <c r="G31" s="28" t="n">
        <f aca="false">INDEX(캐릭터!$G$5:$G$13,MATCH($A31,캐릭터!$A$5:$A$13,0))*INDEX(전투카드!$G$5:$G$38,MATCH("C02",전투카드!$A$5:$A$38,0))*100/(100+INDEX(캐릭터!$H$5:$H$13,MATCH(G$28,캐릭터!$A$5:$A$13,0)))/INDEX(캐릭터!$F$5:$F$13,MATCH(G$28,캐릭터!$A$5:$A$13,0))</f>
        <v>0.118226600985222</v>
      </c>
      <c r="H31" s="28" t="n">
        <f aca="false">INDEX(캐릭터!$G$5:$G$13,MATCH($A31,캐릭터!$A$5:$A$13,0))*INDEX(전투카드!$G$5:$G$38,MATCH("C02",전투카드!$A$5:$A$38,0))*100/(100+INDEX(캐릭터!$H$5:$H$13,MATCH(H$28,캐릭터!$A$5:$A$13,0)))/INDEX(캐릭터!$F$5:$F$13,MATCH(H$28,캐릭터!$A$5:$A$13,0))</f>
        <v>0.151515151515152</v>
      </c>
      <c r="I31" s="28" t="n">
        <f aca="false">INDEX(캐릭터!$G$5:$G$13,MATCH($A31,캐릭터!$A$5:$A$13,0))*INDEX(전투카드!$G$5:$G$38,MATCH("C02",전투카드!$A$5:$A$38,0))*100/(100+INDEX(캐릭터!$H$5:$H$13,MATCH(I$28,캐릭터!$A$5:$A$13,0)))/INDEX(캐릭터!$F$5:$F$13,MATCH(I$28,캐릭터!$A$5:$A$13,0))</f>
        <v>0.134068225830478</v>
      </c>
      <c r="J31" s="28" t="n">
        <f aca="false">INDEX(캐릭터!$G$5:$G$13,MATCH($A31,캐릭터!$A$5:$A$13,0))*INDEX(전투카드!$G$5:$G$38,MATCH("C02",전투카드!$A$5:$A$38,0))*100/(100+INDEX(캐릭터!$H$5:$H$13,MATCH(J$28,캐릭터!$A$5:$A$13,0)))/INDEX(캐릭터!$F$5:$F$13,MATCH(J$28,캐릭터!$A$5:$A$13,0))</f>
        <v>0.0983606557377049</v>
      </c>
    </row>
    <row r="32" customFormat="false" ht="15" hidden="false" customHeight="true" outlineLevel="0" collapsed="false">
      <c r="A32" s="13" t="s">
        <v>189</v>
      </c>
      <c r="B32" s="28" t="n">
        <f aca="false">INDEX(캐릭터!$G$5:$G$13,MATCH($A32,캐릭터!$A$5:$A$13,0))*INDEX(전투카드!$G$5:$G$38,MATCH("C02",전투카드!$A$5:$A$38,0))*100/(100+INDEX(캐릭터!$H$5:$H$13,MATCH(B$28,캐릭터!$A$5:$A$13,0)))/INDEX(캐릭터!$F$5:$F$13,MATCH(B$28,캐릭터!$A$5:$A$13,0))</f>
        <v>0.0931034482758621</v>
      </c>
      <c r="C32" s="28" t="n">
        <f aca="false">INDEX(캐릭터!$G$5:$G$13,MATCH($A32,캐릭터!$A$5:$A$13,0))*INDEX(전투카드!$G$5:$G$38,MATCH("C02",전투카드!$A$5:$A$38,0))*100/(100+INDEX(캐릭터!$H$5:$H$13,MATCH(C$28,캐릭터!$A$5:$A$13,0)))/INDEX(캐릭터!$F$5:$F$13,MATCH(C$28,캐릭터!$A$5:$A$13,0))</f>
        <v>0.110731373889269</v>
      </c>
      <c r="D32" s="28" t="n">
        <f aca="false">INDEX(캐릭터!$G$5:$G$13,MATCH($A32,캐릭터!$A$5:$A$13,0))*INDEX(전투카드!$G$5:$G$38,MATCH("C02",전투카드!$A$5:$A$38,0))*100/(100+INDEX(캐릭터!$H$5:$H$13,MATCH(D$28,캐릭터!$A$5:$A$13,0)))/INDEX(캐릭터!$F$5:$F$13,MATCH(D$28,캐릭터!$A$5:$A$13,0))</f>
        <v>0.121804511278195</v>
      </c>
      <c r="E32" s="28" t="n">
        <f aca="false">INDEX(캐릭터!$G$5:$G$13,MATCH($A32,캐릭터!$A$5:$A$13,0))*INDEX(전투카드!$G$5:$G$38,MATCH("C02",전투카드!$A$5:$A$38,0))*100/(100+INDEX(캐릭터!$H$5:$H$13,MATCH(E$28,캐릭터!$A$5:$A$13,0)))/INDEX(캐릭터!$F$5:$F$13,MATCH(E$28,캐릭터!$A$5:$A$13,0))</f>
        <v>0.102857142857143</v>
      </c>
      <c r="F32" s="28" t="n">
        <f aca="false">INDEX(캐릭터!$G$5:$G$13,MATCH($A32,캐릭터!$A$5:$A$13,0))*INDEX(전투카드!$G$5:$G$38,MATCH("C02",전투카드!$A$5:$A$38,0))*100/(100+INDEX(캐릭터!$H$5:$H$13,MATCH(F$28,캐릭터!$A$5:$A$13,0)))/INDEX(캐릭터!$F$5:$F$13,MATCH(F$28,캐릭터!$A$5:$A$13,0))</f>
        <v>0.12</v>
      </c>
      <c r="G32" s="28" t="n">
        <f aca="false">INDEX(캐릭터!$G$5:$G$13,MATCH($A32,캐릭터!$A$5:$A$13,0))*INDEX(전투카드!$G$5:$G$38,MATCH("C02",전투카드!$A$5:$A$38,0))*100/(100+INDEX(캐릭터!$H$5:$H$13,MATCH(G$28,캐릭터!$A$5:$A$13,0)))/INDEX(캐릭터!$F$5:$F$13,MATCH(G$28,캐릭터!$A$5:$A$13,0))</f>
        <v>0.1064039408867</v>
      </c>
      <c r="H32" s="28" t="n">
        <f aca="false">INDEX(캐릭터!$G$5:$G$13,MATCH($A32,캐릭터!$A$5:$A$13,0))*INDEX(전투카드!$G$5:$G$38,MATCH("C02",전투카드!$A$5:$A$38,0))*100/(100+INDEX(캐릭터!$H$5:$H$13,MATCH(H$28,캐릭터!$A$5:$A$13,0)))/INDEX(캐릭터!$F$5:$F$13,MATCH(H$28,캐릭터!$A$5:$A$13,0))</f>
        <v>0.136363636363636</v>
      </c>
      <c r="I32" s="28" t="n">
        <f aca="false">INDEX(캐릭터!$G$5:$G$13,MATCH($A32,캐릭터!$A$5:$A$13,0))*INDEX(전투카드!$G$5:$G$38,MATCH("C02",전투카드!$A$5:$A$38,0))*100/(100+INDEX(캐릭터!$H$5:$H$13,MATCH(I$28,캐릭터!$A$5:$A$13,0)))/INDEX(캐릭터!$F$5:$F$13,MATCH(I$28,캐릭터!$A$5:$A$13,0))</f>
        <v>0.12066140324743</v>
      </c>
      <c r="J32" s="28" t="n">
        <f aca="false">INDEX(캐릭터!$G$5:$G$13,MATCH($A32,캐릭터!$A$5:$A$13,0))*INDEX(전투카드!$G$5:$G$38,MATCH("C02",전투카드!$A$5:$A$38,0))*100/(100+INDEX(캐릭터!$H$5:$H$13,MATCH(J$28,캐릭터!$A$5:$A$13,0)))/INDEX(캐릭터!$F$5:$F$13,MATCH(J$28,캐릭터!$A$5:$A$13,0))</f>
        <v>0.0885245901639344</v>
      </c>
    </row>
    <row r="33" customFormat="false" ht="15" hidden="false" customHeight="true" outlineLevel="0" collapsed="false">
      <c r="A33" s="13" t="s">
        <v>198</v>
      </c>
      <c r="B33" s="28" t="n">
        <f aca="false">INDEX(캐릭터!$G$5:$G$13,MATCH($A33,캐릭터!$A$5:$A$13,0))*INDEX(전투카드!$G$5:$G$38,MATCH("C02",전투카드!$A$5:$A$38,0))*100/(100+INDEX(캐릭터!$H$5:$H$13,MATCH(B$28,캐릭터!$A$5:$A$13,0)))/INDEX(캐릭터!$F$5:$F$13,MATCH(B$28,캐릭터!$A$5:$A$13,0))</f>
        <v>0.107586206896552</v>
      </c>
      <c r="C33" s="28" t="n">
        <f aca="false">INDEX(캐릭터!$G$5:$G$13,MATCH($A33,캐릭터!$A$5:$A$13,0))*INDEX(전투카드!$G$5:$G$38,MATCH("C02",전투카드!$A$5:$A$38,0))*100/(100+INDEX(캐릭터!$H$5:$H$13,MATCH(C$28,캐릭터!$A$5:$A$13,0)))/INDEX(캐릭터!$F$5:$F$13,MATCH(C$28,캐릭터!$A$5:$A$13,0))</f>
        <v>0.127956254272044</v>
      </c>
      <c r="D33" s="28" t="n">
        <f aca="false">INDEX(캐릭터!$G$5:$G$13,MATCH($A33,캐릭터!$A$5:$A$13,0))*INDEX(전투카드!$G$5:$G$38,MATCH("C02",전투카드!$A$5:$A$38,0))*100/(100+INDEX(캐릭터!$H$5:$H$13,MATCH(D$28,캐릭터!$A$5:$A$13,0)))/INDEX(캐릭터!$F$5:$F$13,MATCH(D$28,캐릭터!$A$5:$A$13,0))</f>
        <v>0.140751879699248</v>
      </c>
      <c r="E33" s="28" t="n">
        <f aca="false">INDEX(캐릭터!$G$5:$G$13,MATCH($A33,캐릭터!$A$5:$A$13,0))*INDEX(전투카드!$G$5:$G$38,MATCH("C02",전투카드!$A$5:$A$38,0))*100/(100+INDEX(캐릭터!$H$5:$H$13,MATCH(E$28,캐릭터!$A$5:$A$13,0)))/INDEX(캐릭터!$F$5:$F$13,MATCH(E$28,캐릭터!$A$5:$A$13,0))</f>
        <v>0.118857142857143</v>
      </c>
      <c r="F33" s="28" t="n">
        <f aca="false">INDEX(캐릭터!$G$5:$G$13,MATCH($A33,캐릭터!$A$5:$A$13,0))*INDEX(전투카드!$G$5:$G$38,MATCH("C02",전투카드!$A$5:$A$38,0))*100/(100+INDEX(캐릭터!$H$5:$H$13,MATCH(F$28,캐릭터!$A$5:$A$13,0)))/INDEX(캐릭터!$F$5:$F$13,MATCH(F$28,캐릭터!$A$5:$A$13,0))</f>
        <v>0.138666666666667</v>
      </c>
      <c r="G33" s="28" t="n">
        <f aca="false">INDEX(캐릭터!$G$5:$G$13,MATCH($A33,캐릭터!$A$5:$A$13,0))*INDEX(전투카드!$G$5:$G$38,MATCH("C02",전투카드!$A$5:$A$38,0))*100/(100+INDEX(캐릭터!$H$5:$H$13,MATCH(G$28,캐릭터!$A$5:$A$13,0)))/INDEX(캐릭터!$F$5:$F$13,MATCH(G$28,캐릭터!$A$5:$A$13,0))</f>
        <v>0.122955665024631</v>
      </c>
      <c r="H33" s="28" t="n">
        <f aca="false">INDEX(캐릭터!$G$5:$G$13,MATCH($A33,캐릭터!$A$5:$A$13,0))*INDEX(전투카드!$G$5:$G$38,MATCH("C02",전투카드!$A$5:$A$38,0))*100/(100+INDEX(캐릭터!$H$5:$H$13,MATCH(H$28,캐릭터!$A$5:$A$13,0)))/INDEX(캐릭터!$F$5:$F$13,MATCH(H$28,캐릭터!$A$5:$A$13,0))</f>
        <v>0.157575757575758</v>
      </c>
      <c r="I33" s="28" t="n">
        <f aca="false">INDEX(캐릭터!$G$5:$G$13,MATCH($A33,캐릭터!$A$5:$A$13,0))*INDEX(전투카드!$G$5:$G$38,MATCH("C02",전투카드!$A$5:$A$38,0))*100/(100+INDEX(캐릭터!$H$5:$H$13,MATCH(I$28,캐릭터!$A$5:$A$13,0)))/INDEX(캐릭터!$F$5:$F$13,MATCH(I$28,캐릭터!$A$5:$A$13,0))</f>
        <v>0.139430954863697</v>
      </c>
      <c r="J33" s="28" t="n">
        <f aca="false">INDEX(캐릭터!$G$5:$G$13,MATCH($A33,캐릭터!$A$5:$A$13,0))*INDEX(전투카드!$G$5:$G$38,MATCH("C02",전투카드!$A$5:$A$38,0))*100/(100+INDEX(캐릭터!$H$5:$H$13,MATCH(J$28,캐릭터!$A$5:$A$13,0)))/INDEX(캐릭터!$F$5:$F$13,MATCH(J$28,캐릭터!$A$5:$A$13,0))</f>
        <v>0.102295081967213</v>
      </c>
    </row>
    <row r="34" customFormat="false" ht="15" hidden="false" customHeight="true" outlineLevel="0" collapsed="false">
      <c r="A34" s="13" t="s">
        <v>207</v>
      </c>
      <c r="B34" s="28" t="n">
        <f aca="false">INDEX(캐릭터!$G$5:$G$13,MATCH($A34,캐릭터!$A$5:$A$13,0))*INDEX(전투카드!$G$5:$G$38,MATCH("C02",전투카드!$A$5:$A$38,0))*100/(100+INDEX(캐릭터!$H$5:$H$13,MATCH(B$28,캐릭터!$A$5:$A$13,0)))/INDEX(캐릭터!$F$5:$F$13,MATCH(B$28,캐릭터!$A$5:$A$13,0))</f>
        <v>0.103448275862069</v>
      </c>
      <c r="C34" s="28" t="n">
        <f aca="false">INDEX(캐릭터!$G$5:$G$13,MATCH($A34,캐릭터!$A$5:$A$13,0))*INDEX(전투카드!$G$5:$G$38,MATCH("C02",전투카드!$A$5:$A$38,0))*100/(100+INDEX(캐릭터!$H$5:$H$13,MATCH(C$28,캐릭터!$A$5:$A$13,0)))/INDEX(캐릭터!$F$5:$F$13,MATCH(C$28,캐릭터!$A$5:$A$13,0))</f>
        <v>0.123034859876965</v>
      </c>
      <c r="D34" s="28" t="n">
        <f aca="false">INDEX(캐릭터!$G$5:$G$13,MATCH($A34,캐릭터!$A$5:$A$13,0))*INDEX(전투카드!$G$5:$G$38,MATCH("C02",전투카드!$A$5:$A$38,0))*100/(100+INDEX(캐릭터!$H$5:$H$13,MATCH(D$28,캐릭터!$A$5:$A$13,0)))/INDEX(캐릭터!$F$5:$F$13,MATCH(D$28,캐릭터!$A$5:$A$13,0))</f>
        <v>0.135338345864662</v>
      </c>
      <c r="E34" s="28" t="n">
        <f aca="false">INDEX(캐릭터!$G$5:$G$13,MATCH($A34,캐릭터!$A$5:$A$13,0))*INDEX(전투카드!$G$5:$G$38,MATCH("C02",전투카드!$A$5:$A$38,0))*100/(100+INDEX(캐릭터!$H$5:$H$13,MATCH(E$28,캐릭터!$A$5:$A$13,0)))/INDEX(캐릭터!$F$5:$F$13,MATCH(E$28,캐릭터!$A$5:$A$13,0))</f>
        <v>0.114285714285714</v>
      </c>
      <c r="F34" s="28" t="n">
        <f aca="false">INDEX(캐릭터!$G$5:$G$13,MATCH($A34,캐릭터!$A$5:$A$13,0))*INDEX(전투카드!$G$5:$G$38,MATCH("C02",전투카드!$A$5:$A$38,0))*100/(100+INDEX(캐릭터!$H$5:$H$13,MATCH(F$28,캐릭터!$A$5:$A$13,0)))/INDEX(캐릭터!$F$5:$F$13,MATCH(F$28,캐릭터!$A$5:$A$13,0))</f>
        <v>0.133333333333333</v>
      </c>
      <c r="G34" s="28" t="n">
        <f aca="false">INDEX(캐릭터!$G$5:$G$13,MATCH($A34,캐릭터!$A$5:$A$13,0))*INDEX(전투카드!$G$5:$G$38,MATCH("C02",전투카드!$A$5:$A$38,0))*100/(100+INDEX(캐릭터!$H$5:$H$13,MATCH(G$28,캐릭터!$A$5:$A$13,0)))/INDEX(캐릭터!$F$5:$F$13,MATCH(G$28,캐릭터!$A$5:$A$13,0))</f>
        <v>0.118226600985222</v>
      </c>
      <c r="H34" s="28" t="n">
        <f aca="false">INDEX(캐릭터!$G$5:$G$13,MATCH($A34,캐릭터!$A$5:$A$13,0))*INDEX(전투카드!$G$5:$G$38,MATCH("C02",전투카드!$A$5:$A$38,0))*100/(100+INDEX(캐릭터!$H$5:$H$13,MATCH(H$28,캐릭터!$A$5:$A$13,0)))/INDEX(캐릭터!$F$5:$F$13,MATCH(H$28,캐릭터!$A$5:$A$13,0))</f>
        <v>0.151515151515152</v>
      </c>
      <c r="I34" s="28" t="n">
        <f aca="false">INDEX(캐릭터!$G$5:$G$13,MATCH($A34,캐릭터!$A$5:$A$13,0))*INDEX(전투카드!$G$5:$G$38,MATCH("C02",전투카드!$A$5:$A$38,0))*100/(100+INDEX(캐릭터!$H$5:$H$13,MATCH(I$28,캐릭터!$A$5:$A$13,0)))/INDEX(캐릭터!$F$5:$F$13,MATCH(I$28,캐릭터!$A$5:$A$13,0))</f>
        <v>0.134068225830478</v>
      </c>
      <c r="J34" s="28" t="n">
        <f aca="false">INDEX(캐릭터!$G$5:$G$13,MATCH($A34,캐릭터!$A$5:$A$13,0))*INDEX(전투카드!$G$5:$G$38,MATCH("C02",전투카드!$A$5:$A$38,0))*100/(100+INDEX(캐릭터!$H$5:$H$13,MATCH(J$28,캐릭터!$A$5:$A$13,0)))/INDEX(캐릭터!$F$5:$F$13,MATCH(J$28,캐릭터!$A$5:$A$13,0))</f>
        <v>0.0983606557377049</v>
      </c>
    </row>
    <row r="35" customFormat="false" ht="15" hidden="false" customHeight="true" outlineLevel="0" collapsed="false">
      <c r="A35" s="13" t="s">
        <v>216</v>
      </c>
      <c r="B35" s="28" t="n">
        <f aca="false">INDEX(캐릭터!$G$5:$G$13,MATCH($A35,캐릭터!$A$5:$A$13,0))*INDEX(전투카드!$G$5:$G$38,MATCH("C02",전투카드!$A$5:$A$38,0))*100/(100+INDEX(캐릭터!$H$5:$H$13,MATCH(B$28,캐릭터!$A$5:$A$13,0)))/INDEX(캐릭터!$F$5:$F$13,MATCH(B$28,캐릭터!$A$5:$A$13,0))</f>
        <v>0.118965517241379</v>
      </c>
      <c r="C35" s="28" t="n">
        <f aca="false">INDEX(캐릭터!$G$5:$G$13,MATCH($A35,캐릭터!$A$5:$A$13,0))*INDEX(전투카드!$G$5:$G$38,MATCH("C02",전투카드!$A$5:$A$38,0))*100/(100+INDEX(캐릭터!$H$5:$H$13,MATCH(C$28,캐릭터!$A$5:$A$13,0)))/INDEX(캐릭터!$F$5:$F$13,MATCH(C$28,캐릭터!$A$5:$A$13,0))</f>
        <v>0.14149008885851</v>
      </c>
      <c r="D35" s="28" t="n">
        <f aca="false">INDEX(캐릭터!$G$5:$G$13,MATCH($A35,캐릭터!$A$5:$A$13,0))*INDEX(전투카드!$G$5:$G$38,MATCH("C02",전투카드!$A$5:$A$38,0))*100/(100+INDEX(캐릭터!$H$5:$H$13,MATCH(D$28,캐릭터!$A$5:$A$13,0)))/INDEX(캐릭터!$F$5:$F$13,MATCH(D$28,캐릭터!$A$5:$A$13,0))</f>
        <v>0.155639097744361</v>
      </c>
      <c r="E35" s="28" t="n">
        <f aca="false">INDEX(캐릭터!$G$5:$G$13,MATCH($A35,캐릭터!$A$5:$A$13,0))*INDEX(전투카드!$G$5:$G$38,MATCH("C02",전투카드!$A$5:$A$38,0))*100/(100+INDEX(캐릭터!$H$5:$H$13,MATCH(E$28,캐릭터!$A$5:$A$13,0)))/INDEX(캐릭터!$F$5:$F$13,MATCH(E$28,캐릭터!$A$5:$A$13,0))</f>
        <v>0.131428571428571</v>
      </c>
      <c r="F35" s="28" t="n">
        <f aca="false">INDEX(캐릭터!$G$5:$G$13,MATCH($A35,캐릭터!$A$5:$A$13,0))*INDEX(전투카드!$G$5:$G$38,MATCH("C02",전투카드!$A$5:$A$38,0))*100/(100+INDEX(캐릭터!$H$5:$H$13,MATCH(F$28,캐릭터!$A$5:$A$13,0)))/INDEX(캐릭터!$F$5:$F$13,MATCH(F$28,캐릭터!$A$5:$A$13,0))</f>
        <v>0.153333333333333</v>
      </c>
      <c r="G35" s="28" t="n">
        <f aca="false">INDEX(캐릭터!$G$5:$G$13,MATCH($A35,캐릭터!$A$5:$A$13,0))*INDEX(전투카드!$G$5:$G$38,MATCH("C02",전투카드!$A$5:$A$38,0))*100/(100+INDEX(캐릭터!$H$5:$H$13,MATCH(G$28,캐릭터!$A$5:$A$13,0)))/INDEX(캐릭터!$F$5:$F$13,MATCH(G$28,캐릭터!$A$5:$A$13,0))</f>
        <v>0.135960591133005</v>
      </c>
      <c r="H35" s="28" t="n">
        <f aca="false">INDEX(캐릭터!$G$5:$G$13,MATCH($A35,캐릭터!$A$5:$A$13,0))*INDEX(전투카드!$G$5:$G$38,MATCH("C02",전투카드!$A$5:$A$38,0))*100/(100+INDEX(캐릭터!$H$5:$H$13,MATCH(H$28,캐릭터!$A$5:$A$13,0)))/INDEX(캐릭터!$F$5:$F$13,MATCH(H$28,캐릭터!$A$5:$A$13,0))</f>
        <v>0.174242424242424</v>
      </c>
      <c r="I35" s="28" t="n">
        <f aca="false">INDEX(캐릭터!$G$5:$G$13,MATCH($A35,캐릭터!$A$5:$A$13,0))*INDEX(전투카드!$G$5:$G$38,MATCH("C02",전투카드!$A$5:$A$38,0))*100/(100+INDEX(캐릭터!$H$5:$H$13,MATCH(I$28,캐릭터!$A$5:$A$13,0)))/INDEX(캐릭터!$F$5:$F$13,MATCH(I$28,캐릭터!$A$5:$A$13,0))</f>
        <v>0.15417845970505</v>
      </c>
      <c r="J35" s="28" t="n">
        <f aca="false">INDEX(캐릭터!$G$5:$G$13,MATCH($A35,캐릭터!$A$5:$A$13,0))*INDEX(전투카드!$G$5:$G$38,MATCH("C02",전투카드!$A$5:$A$38,0))*100/(100+INDEX(캐릭터!$H$5:$H$13,MATCH(J$28,캐릭터!$A$5:$A$13,0)))/INDEX(캐릭터!$F$5:$F$13,MATCH(J$28,캐릭터!$A$5:$A$13,0))</f>
        <v>0.113114754098361</v>
      </c>
    </row>
    <row r="36" customFormat="false" ht="15" hidden="false" customHeight="true" outlineLevel="0" collapsed="false">
      <c r="A36" s="13" t="s">
        <v>224</v>
      </c>
      <c r="B36" s="28" t="n">
        <f aca="false">INDEX(캐릭터!$G$5:$G$13,MATCH($A36,캐릭터!$A$5:$A$13,0))*INDEX(전투카드!$G$5:$G$38,MATCH("C02",전투카드!$A$5:$A$38,0))*100/(100+INDEX(캐릭터!$H$5:$H$13,MATCH(B$28,캐릭터!$A$5:$A$13,0)))/INDEX(캐릭터!$F$5:$F$13,MATCH(B$28,캐릭터!$A$5:$A$13,0))</f>
        <v>0.108620689655172</v>
      </c>
      <c r="C36" s="28" t="n">
        <f aca="false">INDEX(캐릭터!$G$5:$G$13,MATCH($A36,캐릭터!$A$5:$A$13,0))*INDEX(전투카드!$G$5:$G$38,MATCH("C02",전투카드!$A$5:$A$38,0))*100/(100+INDEX(캐릭터!$H$5:$H$13,MATCH(C$28,캐릭터!$A$5:$A$13,0)))/INDEX(캐릭터!$F$5:$F$13,MATCH(C$28,캐릭터!$A$5:$A$13,0))</f>
        <v>0.129186602870813</v>
      </c>
      <c r="D36" s="28" t="n">
        <f aca="false">INDEX(캐릭터!$G$5:$G$13,MATCH($A36,캐릭터!$A$5:$A$13,0))*INDEX(전투카드!$G$5:$G$38,MATCH("C02",전투카드!$A$5:$A$38,0))*100/(100+INDEX(캐릭터!$H$5:$H$13,MATCH(D$28,캐릭터!$A$5:$A$13,0)))/INDEX(캐릭터!$F$5:$F$13,MATCH(D$28,캐릭터!$A$5:$A$13,0))</f>
        <v>0.142105263157895</v>
      </c>
      <c r="E36" s="28" t="n">
        <f aca="false">INDEX(캐릭터!$G$5:$G$13,MATCH($A36,캐릭터!$A$5:$A$13,0))*INDEX(전투카드!$G$5:$G$38,MATCH("C02",전투카드!$A$5:$A$38,0))*100/(100+INDEX(캐릭터!$H$5:$H$13,MATCH(E$28,캐릭터!$A$5:$A$13,0)))/INDEX(캐릭터!$F$5:$F$13,MATCH(E$28,캐릭터!$A$5:$A$13,0))</f>
        <v>0.12</v>
      </c>
      <c r="F36" s="28" t="n">
        <f aca="false">INDEX(캐릭터!$G$5:$G$13,MATCH($A36,캐릭터!$A$5:$A$13,0))*INDEX(전투카드!$G$5:$G$38,MATCH("C02",전투카드!$A$5:$A$38,0))*100/(100+INDEX(캐릭터!$H$5:$H$13,MATCH(F$28,캐릭터!$A$5:$A$13,0)))/INDEX(캐릭터!$F$5:$F$13,MATCH(F$28,캐릭터!$A$5:$A$13,0))</f>
        <v>0.14</v>
      </c>
      <c r="G36" s="28" t="n">
        <f aca="false">INDEX(캐릭터!$G$5:$G$13,MATCH($A36,캐릭터!$A$5:$A$13,0))*INDEX(전투카드!$G$5:$G$38,MATCH("C02",전투카드!$A$5:$A$38,0))*100/(100+INDEX(캐릭터!$H$5:$H$13,MATCH(G$28,캐릭터!$A$5:$A$13,0)))/INDEX(캐릭터!$F$5:$F$13,MATCH(G$28,캐릭터!$A$5:$A$13,0))</f>
        <v>0.124137931034483</v>
      </c>
      <c r="H36" s="28" t="n">
        <f aca="false">INDEX(캐릭터!$G$5:$G$13,MATCH($A36,캐릭터!$A$5:$A$13,0))*INDEX(전투카드!$G$5:$G$38,MATCH("C02",전투카드!$A$5:$A$38,0))*100/(100+INDEX(캐릭터!$H$5:$H$13,MATCH(H$28,캐릭터!$A$5:$A$13,0)))/INDEX(캐릭터!$F$5:$F$13,MATCH(H$28,캐릭터!$A$5:$A$13,0))</f>
        <v>0.159090909090909</v>
      </c>
      <c r="I36" s="28" t="n">
        <f aca="false">INDEX(캐릭터!$G$5:$G$13,MATCH($A36,캐릭터!$A$5:$A$13,0))*INDEX(전투카드!$G$5:$G$38,MATCH("C02",전투카드!$A$5:$A$38,0))*100/(100+INDEX(캐릭터!$H$5:$H$13,MATCH(I$28,캐릭터!$A$5:$A$13,0)))/INDEX(캐릭터!$F$5:$F$13,MATCH(I$28,캐릭터!$A$5:$A$13,0))</f>
        <v>0.140771637122002</v>
      </c>
      <c r="J36" s="28" t="n">
        <f aca="false">INDEX(캐릭터!$G$5:$G$13,MATCH($A36,캐릭터!$A$5:$A$13,0))*INDEX(전투카드!$G$5:$G$38,MATCH("C02",전투카드!$A$5:$A$38,0))*100/(100+INDEX(캐릭터!$H$5:$H$13,MATCH(J$28,캐릭터!$A$5:$A$13,0)))/INDEX(캐릭터!$F$5:$F$13,MATCH(J$28,캐릭터!$A$5:$A$13,0))</f>
        <v>0.10327868852459</v>
      </c>
    </row>
    <row r="37" customFormat="false" ht="15" hidden="false" customHeight="true" outlineLevel="0" collapsed="false">
      <c r="A37" s="13" t="s">
        <v>232</v>
      </c>
      <c r="B37" s="28" t="n">
        <f aca="false">INDEX(캐릭터!$G$5:$G$13,MATCH($A37,캐릭터!$A$5:$A$13,0))*INDEX(전투카드!$G$5:$G$38,MATCH("C02",전투카드!$A$5:$A$38,0))*100/(100+INDEX(캐릭터!$H$5:$H$13,MATCH(B$28,캐릭터!$A$5:$A$13,0)))/INDEX(캐릭터!$F$5:$F$13,MATCH(B$28,캐릭터!$A$5:$A$13,0))</f>
        <v>0.0827586206896552</v>
      </c>
      <c r="C37" s="28" t="n">
        <f aca="false">INDEX(캐릭터!$G$5:$G$13,MATCH($A37,캐릭터!$A$5:$A$13,0))*INDEX(전투카드!$G$5:$G$38,MATCH("C02",전투카드!$A$5:$A$38,0))*100/(100+INDEX(캐릭터!$H$5:$H$13,MATCH(C$28,캐릭터!$A$5:$A$13,0)))/INDEX(캐릭터!$F$5:$F$13,MATCH(C$28,캐릭터!$A$5:$A$13,0))</f>
        <v>0.0984278879015721</v>
      </c>
      <c r="D37" s="28" t="n">
        <f aca="false">INDEX(캐릭터!$G$5:$G$13,MATCH($A37,캐릭터!$A$5:$A$13,0))*INDEX(전투카드!$G$5:$G$38,MATCH("C02",전투카드!$A$5:$A$38,0))*100/(100+INDEX(캐릭터!$H$5:$H$13,MATCH(D$28,캐릭터!$A$5:$A$13,0)))/INDEX(캐릭터!$F$5:$F$13,MATCH(D$28,캐릭터!$A$5:$A$13,0))</f>
        <v>0.108270676691729</v>
      </c>
      <c r="E37" s="28" t="n">
        <f aca="false">INDEX(캐릭터!$G$5:$G$13,MATCH($A37,캐릭터!$A$5:$A$13,0))*INDEX(전투카드!$G$5:$G$38,MATCH("C02",전투카드!$A$5:$A$38,0))*100/(100+INDEX(캐릭터!$H$5:$H$13,MATCH(E$28,캐릭터!$A$5:$A$13,0)))/INDEX(캐릭터!$F$5:$F$13,MATCH(E$28,캐릭터!$A$5:$A$13,0))</f>
        <v>0.0914285714285714</v>
      </c>
      <c r="F37" s="28" t="n">
        <f aca="false">INDEX(캐릭터!$G$5:$G$13,MATCH($A37,캐릭터!$A$5:$A$13,0))*INDEX(전투카드!$G$5:$G$38,MATCH("C02",전투카드!$A$5:$A$38,0))*100/(100+INDEX(캐릭터!$H$5:$H$13,MATCH(F$28,캐릭터!$A$5:$A$13,0)))/INDEX(캐릭터!$F$5:$F$13,MATCH(F$28,캐릭터!$A$5:$A$13,0))</f>
        <v>0.106666666666667</v>
      </c>
      <c r="G37" s="28" t="n">
        <f aca="false">INDEX(캐릭터!$G$5:$G$13,MATCH($A37,캐릭터!$A$5:$A$13,0))*INDEX(전투카드!$G$5:$G$38,MATCH("C02",전투카드!$A$5:$A$38,0))*100/(100+INDEX(캐릭터!$H$5:$H$13,MATCH(G$28,캐릭터!$A$5:$A$13,0)))/INDEX(캐릭터!$F$5:$F$13,MATCH(G$28,캐릭터!$A$5:$A$13,0))</f>
        <v>0.0945812807881773</v>
      </c>
      <c r="H37" s="28" t="n">
        <f aca="false">INDEX(캐릭터!$G$5:$G$13,MATCH($A37,캐릭터!$A$5:$A$13,0))*INDEX(전투카드!$G$5:$G$38,MATCH("C02",전투카드!$A$5:$A$38,0))*100/(100+INDEX(캐릭터!$H$5:$H$13,MATCH(H$28,캐릭터!$A$5:$A$13,0)))/INDEX(캐릭터!$F$5:$F$13,MATCH(H$28,캐릭터!$A$5:$A$13,0))</f>
        <v>0.121212121212121</v>
      </c>
      <c r="I37" s="28" t="n">
        <f aca="false">INDEX(캐릭터!$G$5:$G$13,MATCH($A37,캐릭터!$A$5:$A$13,0))*INDEX(전투카드!$G$5:$G$38,MATCH("C02",전투카드!$A$5:$A$38,0))*100/(100+INDEX(캐릭터!$H$5:$H$13,MATCH(I$28,캐릭터!$A$5:$A$13,0)))/INDEX(캐릭터!$F$5:$F$13,MATCH(I$28,캐릭터!$A$5:$A$13,0))</f>
        <v>0.107254580664383</v>
      </c>
      <c r="J37" s="28" t="n">
        <f aca="false">INDEX(캐릭터!$G$5:$G$13,MATCH($A37,캐릭터!$A$5:$A$13,0))*INDEX(전투카드!$G$5:$G$38,MATCH("C02",전투카드!$A$5:$A$38,0))*100/(100+INDEX(캐릭터!$H$5:$H$13,MATCH(J$28,캐릭터!$A$5:$A$13,0)))/INDEX(캐릭터!$F$5:$F$13,MATCH(J$28,캐릭터!$A$5:$A$13,0))</f>
        <v>0.0786885245901639</v>
      </c>
    </row>
  </sheetData>
  <dataValidations count="3">
    <dataValidation allowBlank="false" errorStyle="stop" operator="between" showDropDown="false" showErrorMessage="false" showInputMessage="false" sqref="B4:B5" type="list">
      <formula1>캐릭터!$A$5:$A$13</formula1>
      <formula2>0</formula2>
    </dataValidation>
    <dataValidation allowBlank="false" errorStyle="stop" operator="between" showDropDown="false" showErrorMessage="false" showInputMessage="false" sqref="B6" type="list">
      <formula1>전투카드!$A$5:$A$38</formula1>
      <formula2>0</formula2>
    </dataValidation>
    <dataValidation allowBlank="false" errorStyle="stop" operator="between" showDropDown="false" showErrorMessage="false" showInputMessage="false" sqref="B9" type="list">
      <formula1>"예,아니오"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11"/>
    <col collapsed="false" customWidth="true" hidden="false" outlineLevel="0" max="5" min="5" style="1" width="13"/>
    <col collapsed="false" customWidth="true" hidden="false" outlineLevel="0" max="6" min="6" style="1" width="9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9" min="9" style="1" width="13"/>
    <col collapsed="false" customWidth="true" hidden="false" outlineLevel="0" max="10" min="10" style="1" width="12"/>
    <col collapsed="false" customWidth="true" hidden="false" outlineLevel="0" max="11" min="11" style="1" width="9"/>
    <col collapsed="false" customWidth="true" hidden="false" outlineLevel="0" max="12" min="12" style="1" width="16"/>
  </cols>
  <sheetData>
    <row r="1" customFormat="false" ht="21" hidden="false" customHeight="true" outlineLevel="0" collapsed="false">
      <c r="A1" s="2" t="s">
        <v>450</v>
      </c>
    </row>
    <row r="2" customFormat="false" ht="15" hidden="false" customHeight="true" outlineLevel="0" collapsed="false">
      <c r="A2" s="21" t="s">
        <v>451</v>
      </c>
    </row>
    <row r="3" customFormat="false" ht="16.5" hidden="false" customHeight="true" outlineLevel="0" collapsed="false">
      <c r="A3" s="19" t="s">
        <v>452</v>
      </c>
      <c r="C3" s="14" t="n">
        <v>800</v>
      </c>
      <c r="D3" s="19" t="s">
        <v>453</v>
      </c>
      <c r="F3" s="14" t="n">
        <v>50</v>
      </c>
    </row>
    <row r="4" customFormat="false" ht="30" hidden="false" customHeight="true" outlineLevel="0" collapsed="false">
      <c r="A4" s="4" t="s">
        <v>454</v>
      </c>
      <c r="B4" s="4" t="s">
        <v>65</v>
      </c>
      <c r="C4" s="4" t="s">
        <v>455</v>
      </c>
      <c r="D4" s="4" t="s">
        <v>456</v>
      </c>
      <c r="E4" s="4" t="s">
        <v>457</v>
      </c>
      <c r="F4" s="4" t="s">
        <v>458</v>
      </c>
      <c r="G4" s="4" t="s">
        <v>459</v>
      </c>
      <c r="H4" s="4" t="s">
        <v>460</v>
      </c>
      <c r="I4" s="4" t="s">
        <v>461</v>
      </c>
      <c r="J4" s="4" t="s">
        <v>462</v>
      </c>
      <c r="K4" s="12" t="s">
        <v>463</v>
      </c>
      <c r="L4" s="4" t="s">
        <v>464</v>
      </c>
    </row>
    <row r="5" customFormat="false" ht="16.5" hidden="false" customHeight="true" outlineLevel="0" collapsed="false">
      <c r="A5" s="5" t="n">
        <v>1</v>
      </c>
      <c r="B5" s="13" t="s">
        <v>465</v>
      </c>
      <c r="C5" s="29" t="n">
        <f aca="false">(A5-1)*설정값!$B$25</f>
        <v>0</v>
      </c>
      <c r="D5" s="29" t="n">
        <f aca="false">$C$3+(A5-1)*$F$3</f>
        <v>800</v>
      </c>
      <c r="E5" s="10" t="n">
        <v>0</v>
      </c>
      <c r="F5" s="14"/>
      <c r="G5" s="15" t="n">
        <f aca="false">설정값!$B$14</f>
        <v>25</v>
      </c>
      <c r="H5" s="15" t="n">
        <f aca="false">ROUND(G5*(1-설정값!$B$5),0)</f>
        <v>15</v>
      </c>
      <c r="I5" s="15" t="n">
        <f aca="false">-ROUND(설정값!$B$15*E5,0)</f>
        <v>-0</v>
      </c>
      <c r="J5" s="15" t="n">
        <f aca="false">-ROUND(설정값!$B$15*E5*(1-설정값!$B$5),0)</f>
        <v>-0</v>
      </c>
      <c r="K5" s="5" t="str">
        <f aca="false">IF(A5&gt;=설정값!$B$7,"없음","있음")</f>
        <v>있음</v>
      </c>
      <c r="L5" s="5" t="str">
        <f aca="false">INDEX($B$5:$B$20,MAX(1,A5-설정값!$B$23))</f>
        <v>브론즈 III</v>
      </c>
    </row>
    <row r="6" customFormat="false" ht="16.5" hidden="false" customHeight="true" outlineLevel="0" collapsed="false">
      <c r="A6" s="5" t="n">
        <v>2</v>
      </c>
      <c r="B6" s="13" t="s">
        <v>466</v>
      </c>
      <c r="C6" s="29" t="n">
        <f aca="false">(A6-1)*설정값!$B$25</f>
        <v>100</v>
      </c>
      <c r="D6" s="29" t="n">
        <f aca="false">$C$3+(A6-1)*$F$3</f>
        <v>850</v>
      </c>
      <c r="E6" s="10" t="n">
        <v>0</v>
      </c>
      <c r="F6" s="14"/>
      <c r="G6" s="15" t="n">
        <f aca="false">설정값!$B$14</f>
        <v>25</v>
      </c>
      <c r="H6" s="15" t="n">
        <f aca="false">ROUND(G6*(1-설정값!$B$5),0)</f>
        <v>15</v>
      </c>
      <c r="I6" s="15" t="n">
        <f aca="false">-ROUND(설정값!$B$15*E6,0)</f>
        <v>-0</v>
      </c>
      <c r="J6" s="15" t="n">
        <f aca="false">-ROUND(설정값!$B$15*E6*(1-설정값!$B$5),0)</f>
        <v>-0</v>
      </c>
      <c r="K6" s="5" t="str">
        <f aca="false">IF(A6&gt;=설정값!$B$7,"없음","있음")</f>
        <v>있음</v>
      </c>
      <c r="L6" s="5" t="str">
        <f aca="false">INDEX($B$5:$B$20,MAX(1,A6-설정값!$B$23))</f>
        <v>브론즈 III</v>
      </c>
    </row>
    <row r="7" customFormat="false" ht="16.5" hidden="false" customHeight="true" outlineLevel="0" collapsed="false">
      <c r="A7" s="5" t="n">
        <v>3</v>
      </c>
      <c r="B7" s="13" t="s">
        <v>467</v>
      </c>
      <c r="C7" s="29" t="n">
        <f aca="false">(A7-1)*설정값!$B$25</f>
        <v>200</v>
      </c>
      <c r="D7" s="29" t="n">
        <f aca="false">$C$3+(A7-1)*$F$3</f>
        <v>900</v>
      </c>
      <c r="E7" s="10" t="n">
        <v>0</v>
      </c>
      <c r="F7" s="14"/>
      <c r="G7" s="15" t="n">
        <f aca="false">설정값!$B$14</f>
        <v>25</v>
      </c>
      <c r="H7" s="15" t="n">
        <f aca="false">ROUND(G7*(1-설정값!$B$5),0)</f>
        <v>15</v>
      </c>
      <c r="I7" s="15" t="n">
        <f aca="false">-ROUND(설정값!$B$15*E7,0)</f>
        <v>-0</v>
      </c>
      <c r="J7" s="15" t="n">
        <f aca="false">-ROUND(설정값!$B$15*E7*(1-설정값!$B$5),0)</f>
        <v>-0</v>
      </c>
      <c r="K7" s="5" t="str">
        <f aca="false">IF(A7&gt;=설정값!$B$7,"없음","있음")</f>
        <v>있음</v>
      </c>
      <c r="L7" s="5" t="str">
        <f aca="false">INDEX($B$5:$B$20,MAX(1,A7-설정값!$B$23))</f>
        <v>브론즈 III</v>
      </c>
    </row>
    <row r="8" customFormat="false" ht="16.5" hidden="false" customHeight="true" outlineLevel="0" collapsed="false">
      <c r="A8" s="5" t="n">
        <v>4</v>
      </c>
      <c r="B8" s="13" t="s">
        <v>468</v>
      </c>
      <c r="C8" s="29" t="n">
        <f aca="false">(A8-1)*설정값!$B$25</f>
        <v>300</v>
      </c>
      <c r="D8" s="29" t="n">
        <f aca="false">$C$3+(A8-1)*$F$3</f>
        <v>950</v>
      </c>
      <c r="E8" s="10" t="n">
        <v>0.5</v>
      </c>
      <c r="F8" s="14"/>
      <c r="G8" s="15" t="n">
        <f aca="false">설정값!$B$14</f>
        <v>25</v>
      </c>
      <c r="H8" s="15" t="n">
        <f aca="false">ROUND(G8*(1-설정값!$B$5),0)</f>
        <v>15</v>
      </c>
      <c r="I8" s="15" t="n">
        <f aca="false">-ROUND(설정값!$B$15*E8,0)</f>
        <v>-10</v>
      </c>
      <c r="J8" s="15" t="n">
        <f aca="false">-ROUND(설정값!$B$15*E8*(1-설정값!$B$5),0)</f>
        <v>-6</v>
      </c>
      <c r="K8" s="5" t="str">
        <f aca="false">IF(A8&gt;=설정값!$B$7,"없음","있음")</f>
        <v>있음</v>
      </c>
      <c r="L8" s="5" t="str">
        <f aca="false">INDEX($B$5:$B$20,MAX(1,A8-설정값!$B$23))</f>
        <v>브론즈 III</v>
      </c>
    </row>
    <row r="9" customFormat="false" ht="16.5" hidden="false" customHeight="true" outlineLevel="0" collapsed="false">
      <c r="A9" s="5" t="n">
        <v>5</v>
      </c>
      <c r="B9" s="13" t="s">
        <v>469</v>
      </c>
      <c r="C9" s="29" t="n">
        <f aca="false">(A9-1)*설정값!$B$25</f>
        <v>400</v>
      </c>
      <c r="D9" s="29" t="n">
        <f aca="false">$C$3+(A9-1)*$F$3</f>
        <v>1000</v>
      </c>
      <c r="E9" s="10" t="n">
        <v>0.5</v>
      </c>
      <c r="F9" s="14"/>
      <c r="G9" s="15" t="n">
        <f aca="false">설정값!$B$14</f>
        <v>25</v>
      </c>
      <c r="H9" s="15" t="n">
        <f aca="false">ROUND(G9*(1-설정값!$B$5),0)</f>
        <v>15</v>
      </c>
      <c r="I9" s="15" t="n">
        <f aca="false">-ROUND(설정값!$B$15*E9,0)</f>
        <v>-10</v>
      </c>
      <c r="J9" s="15" t="n">
        <f aca="false">-ROUND(설정값!$B$15*E9*(1-설정값!$B$5),0)</f>
        <v>-6</v>
      </c>
      <c r="K9" s="5" t="str">
        <f aca="false">IF(A9&gt;=설정값!$B$7,"없음","있음")</f>
        <v>있음</v>
      </c>
      <c r="L9" s="5" t="str">
        <f aca="false">INDEX($B$5:$B$20,MAX(1,A9-설정값!$B$23))</f>
        <v>브론즈 III</v>
      </c>
    </row>
    <row r="10" customFormat="false" ht="16.5" hidden="false" customHeight="true" outlineLevel="0" collapsed="false">
      <c r="A10" s="5" t="n">
        <v>6</v>
      </c>
      <c r="B10" s="13" t="s">
        <v>470</v>
      </c>
      <c r="C10" s="29" t="n">
        <f aca="false">(A10-1)*설정값!$B$25</f>
        <v>500</v>
      </c>
      <c r="D10" s="29" t="n">
        <f aca="false">$C$3+(A10-1)*$F$3</f>
        <v>1050</v>
      </c>
      <c r="E10" s="10" t="n">
        <v>0.5</v>
      </c>
      <c r="F10" s="14"/>
      <c r="G10" s="15" t="n">
        <f aca="false">설정값!$B$14</f>
        <v>25</v>
      </c>
      <c r="H10" s="15" t="n">
        <f aca="false">ROUND(G10*(1-설정값!$B$5),0)</f>
        <v>15</v>
      </c>
      <c r="I10" s="15" t="n">
        <f aca="false">-ROUND(설정값!$B$15*E10,0)</f>
        <v>-10</v>
      </c>
      <c r="J10" s="15" t="n">
        <f aca="false">-ROUND(설정값!$B$15*E10*(1-설정값!$B$5),0)</f>
        <v>-6</v>
      </c>
      <c r="K10" s="5" t="str">
        <f aca="false">IF(A10&gt;=설정값!$B$7,"없음","있음")</f>
        <v>있음</v>
      </c>
      <c r="L10" s="5" t="str">
        <f aca="false">INDEX($B$5:$B$20,MAX(1,A10-설정값!$B$23))</f>
        <v>브론즈 II</v>
      </c>
    </row>
    <row r="11" customFormat="false" ht="16.5" hidden="false" customHeight="true" outlineLevel="0" collapsed="false">
      <c r="A11" s="5" t="n">
        <v>7</v>
      </c>
      <c r="B11" s="13" t="s">
        <v>471</v>
      </c>
      <c r="C11" s="29" t="n">
        <f aca="false">(A11-1)*설정값!$B$25</f>
        <v>600</v>
      </c>
      <c r="D11" s="29" t="n">
        <f aca="false">$C$3+(A11-1)*$F$3</f>
        <v>1100</v>
      </c>
      <c r="E11" s="10" t="n">
        <v>1</v>
      </c>
      <c r="F11" s="24" t="s">
        <v>458</v>
      </c>
      <c r="G11" s="15" t="n">
        <f aca="false">설정값!$B$14</f>
        <v>25</v>
      </c>
      <c r="H11" s="15" t="n">
        <f aca="false">ROUND(G11*(1-설정값!$B$5),0)</f>
        <v>15</v>
      </c>
      <c r="I11" s="15" t="n">
        <f aca="false">-ROUND(설정값!$B$15*E11,0)</f>
        <v>-20</v>
      </c>
      <c r="J11" s="15" t="n">
        <f aca="false">-ROUND(설정값!$B$15*E11*(1-설정값!$B$5),0)</f>
        <v>-12</v>
      </c>
      <c r="K11" s="5" t="str">
        <f aca="false">IF(A11&gt;=설정값!$B$7,"없음","있음")</f>
        <v>있음</v>
      </c>
      <c r="L11" s="5" t="str">
        <f aca="false">INDEX($B$5:$B$20,MAX(1,A11-설정값!$B$23))</f>
        <v>브론즈 I</v>
      </c>
    </row>
    <row r="12" customFormat="false" ht="16.5" hidden="false" customHeight="true" outlineLevel="0" collapsed="false">
      <c r="A12" s="5" t="n">
        <v>8</v>
      </c>
      <c r="B12" s="13" t="s">
        <v>472</v>
      </c>
      <c r="C12" s="29" t="n">
        <f aca="false">(A12-1)*설정값!$B$25</f>
        <v>700</v>
      </c>
      <c r="D12" s="29" t="n">
        <f aca="false">$C$3+(A12-1)*$F$3</f>
        <v>1150</v>
      </c>
      <c r="E12" s="10" t="n">
        <v>1</v>
      </c>
      <c r="F12" s="14"/>
      <c r="G12" s="15" t="n">
        <f aca="false">설정값!$B$14</f>
        <v>25</v>
      </c>
      <c r="H12" s="15" t="n">
        <f aca="false">ROUND(G12*(1-설정값!$B$5),0)</f>
        <v>15</v>
      </c>
      <c r="I12" s="15" t="n">
        <f aca="false">-ROUND(설정값!$B$15*E12,0)</f>
        <v>-20</v>
      </c>
      <c r="J12" s="15" t="n">
        <f aca="false">-ROUND(설정값!$B$15*E12*(1-설정값!$B$5),0)</f>
        <v>-12</v>
      </c>
      <c r="K12" s="5" t="str">
        <f aca="false">IF(A12&gt;=설정값!$B$7,"없음","있음")</f>
        <v>있음</v>
      </c>
      <c r="L12" s="5" t="str">
        <f aca="false">INDEX($B$5:$B$20,MAX(1,A12-설정값!$B$23))</f>
        <v>실버 III</v>
      </c>
    </row>
    <row r="13" customFormat="false" ht="16.5" hidden="false" customHeight="true" outlineLevel="0" collapsed="false">
      <c r="A13" s="5" t="n">
        <v>9</v>
      </c>
      <c r="B13" s="13" t="s">
        <v>473</v>
      </c>
      <c r="C13" s="29" t="n">
        <f aca="false">(A13-1)*설정값!$B$25</f>
        <v>800</v>
      </c>
      <c r="D13" s="29" t="n">
        <f aca="false">$C$3+(A13-1)*$F$3</f>
        <v>1200</v>
      </c>
      <c r="E13" s="10" t="n">
        <v>1</v>
      </c>
      <c r="F13" s="14"/>
      <c r="G13" s="15" t="n">
        <f aca="false">설정값!$B$14</f>
        <v>25</v>
      </c>
      <c r="H13" s="15" t="n">
        <f aca="false">ROUND(G13*(1-설정값!$B$5),0)</f>
        <v>15</v>
      </c>
      <c r="I13" s="15" t="n">
        <f aca="false">-ROUND(설정값!$B$15*E13,0)</f>
        <v>-20</v>
      </c>
      <c r="J13" s="15" t="n">
        <f aca="false">-ROUND(설정값!$B$15*E13*(1-설정값!$B$5),0)</f>
        <v>-12</v>
      </c>
      <c r="K13" s="5" t="str">
        <f aca="false">IF(A13&gt;=설정값!$B$7,"없음","있음")</f>
        <v>있음</v>
      </c>
      <c r="L13" s="5" t="str">
        <f aca="false">INDEX($B$5:$B$20,MAX(1,A13-설정값!$B$23))</f>
        <v>실버 II</v>
      </c>
    </row>
    <row r="14" customFormat="false" ht="16.5" hidden="false" customHeight="true" outlineLevel="0" collapsed="false">
      <c r="A14" s="5" t="n">
        <v>10</v>
      </c>
      <c r="B14" s="13" t="s">
        <v>474</v>
      </c>
      <c r="C14" s="29" t="n">
        <f aca="false">(A14-1)*설정값!$B$25</f>
        <v>900</v>
      </c>
      <c r="D14" s="29" t="n">
        <f aca="false">$C$3+(A14-1)*$F$3</f>
        <v>1250</v>
      </c>
      <c r="E14" s="10" t="n">
        <v>1</v>
      </c>
      <c r="F14" s="14"/>
      <c r="G14" s="15" t="n">
        <f aca="false">설정값!$B$14</f>
        <v>25</v>
      </c>
      <c r="H14" s="15" t="n">
        <f aca="false">ROUND(G14*(1-설정값!$B$5),0)</f>
        <v>15</v>
      </c>
      <c r="I14" s="15" t="n">
        <f aca="false">-ROUND(설정값!$B$15*E14,0)</f>
        <v>-20</v>
      </c>
      <c r="J14" s="15" t="n">
        <f aca="false">-ROUND(설정값!$B$15*E14*(1-설정값!$B$5),0)</f>
        <v>-12</v>
      </c>
      <c r="K14" s="5" t="str">
        <f aca="false">IF(A14&gt;=설정값!$B$7,"없음","있음")</f>
        <v>있음</v>
      </c>
      <c r="L14" s="5" t="str">
        <f aca="false">INDEX($B$5:$B$20,MAX(1,A14-설정값!$B$23))</f>
        <v>실버 I</v>
      </c>
    </row>
    <row r="15" customFormat="false" ht="16.5" hidden="false" customHeight="true" outlineLevel="0" collapsed="false">
      <c r="A15" s="5" t="n">
        <v>11</v>
      </c>
      <c r="B15" s="13" t="s">
        <v>475</v>
      </c>
      <c r="C15" s="29" t="n">
        <f aca="false">(A15-1)*설정값!$B$25</f>
        <v>1000</v>
      </c>
      <c r="D15" s="29" t="n">
        <f aca="false">$C$3+(A15-1)*$F$3</f>
        <v>1300</v>
      </c>
      <c r="E15" s="10" t="n">
        <v>1</v>
      </c>
      <c r="F15" s="14"/>
      <c r="G15" s="15" t="n">
        <f aca="false">설정값!$B$14</f>
        <v>25</v>
      </c>
      <c r="H15" s="15" t="n">
        <f aca="false">ROUND(G15*(1-설정값!$B$5),0)</f>
        <v>15</v>
      </c>
      <c r="I15" s="15" t="n">
        <f aca="false">-ROUND(설정값!$B$15*E15,0)</f>
        <v>-20</v>
      </c>
      <c r="J15" s="15" t="n">
        <f aca="false">-ROUND(설정값!$B$15*E15*(1-설정값!$B$5),0)</f>
        <v>-12</v>
      </c>
      <c r="K15" s="5" t="str">
        <f aca="false">IF(A15&gt;=설정값!$B$7,"없음","있음")</f>
        <v>있음</v>
      </c>
      <c r="L15" s="5" t="str">
        <f aca="false">INDEX($B$5:$B$20,MAX(1,A15-설정값!$B$23))</f>
        <v>골드 III</v>
      </c>
    </row>
    <row r="16" customFormat="false" ht="16.5" hidden="false" customHeight="true" outlineLevel="0" collapsed="false">
      <c r="A16" s="5" t="n">
        <v>12</v>
      </c>
      <c r="B16" s="13" t="s">
        <v>476</v>
      </c>
      <c r="C16" s="29" t="n">
        <f aca="false">(A16-1)*설정값!$B$25</f>
        <v>1100</v>
      </c>
      <c r="D16" s="29" t="n">
        <f aca="false">$C$3+(A16-1)*$F$3</f>
        <v>1350</v>
      </c>
      <c r="E16" s="10" t="n">
        <v>1</v>
      </c>
      <c r="F16" s="14"/>
      <c r="G16" s="15" t="n">
        <f aca="false">설정값!$B$14</f>
        <v>25</v>
      </c>
      <c r="H16" s="15" t="n">
        <f aca="false">ROUND(G16*(1-설정값!$B$5),0)</f>
        <v>15</v>
      </c>
      <c r="I16" s="15" t="n">
        <f aca="false">-ROUND(설정값!$B$15*E16,0)</f>
        <v>-20</v>
      </c>
      <c r="J16" s="15" t="n">
        <f aca="false">-ROUND(설정값!$B$15*E16*(1-설정값!$B$5),0)</f>
        <v>-12</v>
      </c>
      <c r="K16" s="5" t="str">
        <f aca="false">IF(A16&gt;=설정값!$B$7,"없음","있음")</f>
        <v>있음</v>
      </c>
      <c r="L16" s="5" t="str">
        <f aca="false">INDEX($B$5:$B$20,MAX(1,A16-설정값!$B$23))</f>
        <v>골드 II</v>
      </c>
    </row>
    <row r="17" customFormat="false" ht="16.5" hidden="false" customHeight="true" outlineLevel="0" collapsed="false">
      <c r="A17" s="5" t="n">
        <v>13</v>
      </c>
      <c r="B17" s="13" t="s">
        <v>477</v>
      </c>
      <c r="C17" s="29" t="n">
        <f aca="false">(A17-1)*설정값!$B$25</f>
        <v>1200</v>
      </c>
      <c r="D17" s="29" t="n">
        <f aca="false">$C$3+(A17-1)*$F$3</f>
        <v>1400</v>
      </c>
      <c r="E17" s="10" t="n">
        <v>1</v>
      </c>
      <c r="F17" s="24" t="s">
        <v>458</v>
      </c>
      <c r="G17" s="15" t="n">
        <f aca="false">설정값!$B$14</f>
        <v>25</v>
      </c>
      <c r="H17" s="15" t="n">
        <f aca="false">ROUND(G17*(1-설정값!$B$5),0)</f>
        <v>15</v>
      </c>
      <c r="I17" s="15" t="n">
        <f aca="false">-ROUND(설정값!$B$15*E17,0)</f>
        <v>-20</v>
      </c>
      <c r="J17" s="15" t="n">
        <f aca="false">-ROUND(설정값!$B$15*E17*(1-설정값!$B$5),0)</f>
        <v>-12</v>
      </c>
      <c r="K17" s="5" t="str">
        <f aca="false">IF(A17&gt;=설정값!$B$7,"없음","있음")</f>
        <v>없음</v>
      </c>
      <c r="L17" s="5" t="str">
        <f aca="false">INDEX($B$5:$B$20,MAX(1,A17-설정값!$B$23))</f>
        <v>골드 I</v>
      </c>
    </row>
    <row r="18" customFormat="false" ht="16.5" hidden="false" customHeight="true" outlineLevel="0" collapsed="false">
      <c r="A18" s="5" t="n">
        <v>14</v>
      </c>
      <c r="B18" s="13" t="s">
        <v>478</v>
      </c>
      <c r="C18" s="29" t="n">
        <f aca="false">(A18-1)*설정값!$B$25</f>
        <v>1300</v>
      </c>
      <c r="D18" s="29" t="n">
        <f aca="false">$C$3+(A18-1)*$F$3</f>
        <v>1450</v>
      </c>
      <c r="E18" s="10" t="n">
        <v>1</v>
      </c>
      <c r="F18" s="14"/>
      <c r="G18" s="15" t="n">
        <f aca="false">설정값!$B$14</f>
        <v>25</v>
      </c>
      <c r="H18" s="15" t="n">
        <f aca="false">ROUND(G18*(1-설정값!$B$5),0)</f>
        <v>15</v>
      </c>
      <c r="I18" s="15" t="n">
        <f aca="false">-ROUND(설정값!$B$15*E18,0)</f>
        <v>-20</v>
      </c>
      <c r="J18" s="15" t="n">
        <f aca="false">-ROUND(설정값!$B$15*E18*(1-설정값!$B$5),0)</f>
        <v>-12</v>
      </c>
      <c r="K18" s="5" t="str">
        <f aca="false">IF(A18&gt;=설정값!$B$7,"없음","있음")</f>
        <v>없음</v>
      </c>
      <c r="L18" s="5" t="str">
        <f aca="false">INDEX($B$5:$B$20,MAX(1,A18-설정값!$B$23))</f>
        <v>플래티넘 III</v>
      </c>
    </row>
    <row r="19" customFormat="false" ht="16.5" hidden="false" customHeight="true" outlineLevel="0" collapsed="false">
      <c r="A19" s="5" t="n">
        <v>15</v>
      </c>
      <c r="B19" s="13" t="s">
        <v>479</v>
      </c>
      <c r="C19" s="29" t="n">
        <f aca="false">(A19-1)*설정값!$B$25</f>
        <v>1400</v>
      </c>
      <c r="D19" s="29" t="n">
        <f aca="false">$C$3+(A19-1)*$F$3</f>
        <v>1500</v>
      </c>
      <c r="E19" s="10" t="n">
        <v>1</v>
      </c>
      <c r="F19" s="14"/>
      <c r="G19" s="15" t="n">
        <f aca="false">설정값!$B$14</f>
        <v>25</v>
      </c>
      <c r="H19" s="15" t="n">
        <f aca="false">ROUND(G19*(1-설정값!$B$5),0)</f>
        <v>15</v>
      </c>
      <c r="I19" s="15" t="n">
        <f aca="false">-ROUND(설정값!$B$15*E19,0)</f>
        <v>-20</v>
      </c>
      <c r="J19" s="15" t="n">
        <f aca="false">-ROUND(설정값!$B$15*E19*(1-설정값!$B$5),0)</f>
        <v>-12</v>
      </c>
      <c r="K19" s="5" t="str">
        <f aca="false">IF(A19&gt;=설정값!$B$7,"없음","있음")</f>
        <v>없음</v>
      </c>
      <c r="L19" s="5" t="str">
        <f aca="false">INDEX($B$5:$B$20,MAX(1,A19-설정값!$B$23))</f>
        <v>플래티넘 II</v>
      </c>
    </row>
    <row r="20" customFormat="false" ht="16.5" hidden="false" customHeight="true" outlineLevel="0" collapsed="false">
      <c r="A20" s="5" t="n">
        <v>16</v>
      </c>
      <c r="B20" s="13" t="s">
        <v>480</v>
      </c>
      <c r="C20" s="29" t="n">
        <f aca="false">(A20-1)*설정값!$B$25</f>
        <v>1500</v>
      </c>
      <c r="D20" s="29" t="n">
        <f aca="false">$C$3+(A20-1)*$F$3</f>
        <v>1550</v>
      </c>
      <c r="E20" s="10" t="n">
        <v>1</v>
      </c>
      <c r="F20" s="14"/>
      <c r="G20" s="15" t="n">
        <f aca="false">설정값!$B$14</f>
        <v>25</v>
      </c>
      <c r="H20" s="15" t="n">
        <f aca="false">ROUND(G20*(1-설정값!$B$5),0)</f>
        <v>15</v>
      </c>
      <c r="I20" s="15" t="n">
        <f aca="false">-ROUND(설정값!$B$15*E20,0)</f>
        <v>-20</v>
      </c>
      <c r="J20" s="15" t="n">
        <f aca="false">-ROUND(설정값!$B$15*E20*(1-설정값!$B$5),0)</f>
        <v>-12</v>
      </c>
      <c r="K20" s="5" t="str">
        <f aca="false">IF(A20&gt;=설정값!$B$7,"없음","있음")</f>
        <v>없음</v>
      </c>
      <c r="L20" s="5" t="str">
        <f aca="false">INDEX($B$5:$B$20,MAX(1,A20-설정값!$B$23))</f>
        <v>플래티넘 I</v>
      </c>
    </row>
    <row r="21" customFormat="false" ht="15" hidden="false" customHeight="true" outlineLevel="0" collapsed="false">
      <c r="A21" s="3" t="s">
        <v>481</v>
      </c>
    </row>
    <row r="23" customFormat="false" ht="16.5" hidden="false" customHeight="true" outlineLevel="0" collapsed="false">
      <c r="A23" s="30" t="s">
        <v>482</v>
      </c>
    </row>
    <row r="24" customFormat="false" ht="16.5" hidden="false" customHeight="true" outlineLevel="0" collapsed="false">
      <c r="A24" s="5" t="s">
        <v>483</v>
      </c>
      <c r="C24" s="24" t="s">
        <v>472</v>
      </c>
    </row>
    <row r="25" customFormat="false" ht="16.5" hidden="false" customHeight="true" outlineLevel="0" collapsed="false">
      <c r="A25" s="5" t="s">
        <v>484</v>
      </c>
      <c r="C25" s="14" t="n">
        <v>1100</v>
      </c>
    </row>
    <row r="26" customFormat="false" ht="16.5" hidden="false" customHeight="true" outlineLevel="0" collapsed="false">
      <c r="A26" s="5" t="s">
        <v>485</v>
      </c>
      <c r="C26" s="14" t="n">
        <v>2</v>
      </c>
    </row>
    <row r="27" customFormat="false" ht="16.5" hidden="false" customHeight="true" outlineLevel="0" collapsed="false">
      <c r="A27" s="7" t="s">
        <v>486</v>
      </c>
      <c r="C27" s="24" t="s">
        <v>435</v>
      </c>
    </row>
    <row r="28" customFormat="false" ht="16.5" hidden="false" customHeight="true" outlineLevel="0" collapsed="false">
      <c r="A28" s="5" t="s">
        <v>487</v>
      </c>
      <c r="C28" s="24" t="s">
        <v>435</v>
      </c>
    </row>
    <row r="29" customFormat="false" ht="16.5" hidden="false" customHeight="true" outlineLevel="0" collapsed="false">
      <c r="A29" s="5" t="s">
        <v>488</v>
      </c>
      <c r="C29" s="14" t="n">
        <v>0</v>
      </c>
    </row>
    <row r="31" customFormat="false" ht="16.5" hidden="false" customHeight="true" outlineLevel="0" collapsed="false">
      <c r="A31" s="5" t="s">
        <v>489</v>
      </c>
      <c r="C31" s="29" t="n">
        <f aca="false">INDEX($D$5:$D$20,MATCH($C$24,$B$5:$B$20,0))</f>
        <v>1150</v>
      </c>
    </row>
    <row r="32" customFormat="false" ht="16.5" hidden="false" customHeight="true" outlineLevel="0" collapsed="false">
      <c r="A32" s="7" t="s">
        <v>490</v>
      </c>
      <c r="C32" s="15" t="n">
        <f aca="false">MAX(-설정값!$B$16,MIN(설정값!$B$16,ROUND(($C$25-INDEX($D$5:$D$20,MATCH($C$24,$B$5:$B$20,0)))/설정값!$B$17,0)))</f>
        <v>-3</v>
      </c>
    </row>
    <row r="33" customFormat="false" ht="16.5" hidden="false" customHeight="true" outlineLevel="0" collapsed="false">
      <c r="A33" s="5" t="s">
        <v>491</v>
      </c>
      <c r="C33" s="15" t="n">
        <f aca="false">MIN(설정값!$B$20,MAX(0,($C$26+1-설정값!$B$18+1)*설정값!$B$19))</f>
        <v>5</v>
      </c>
    </row>
    <row r="34" customFormat="false" ht="16.5" hidden="false" customHeight="true" outlineLevel="0" collapsed="false">
      <c r="A34" s="7" t="s">
        <v>492</v>
      </c>
      <c r="C34" s="26" t="n">
        <f aca="false">IF($C$27="예",IF($C$29&gt;=설정값!$B$6,0,1-설정값!$B$5),1)</f>
        <v>1</v>
      </c>
    </row>
    <row r="35" customFormat="false" ht="16.5" hidden="false" customHeight="true" outlineLevel="0" collapsed="false">
      <c r="A35" s="13" t="s">
        <v>493</v>
      </c>
      <c r="C35" s="31" t="n">
        <f aca="false">ROUND((설정값!$B$14+C32+C33)*IF($C$28="예",설정값!$B$24,1)*C34,0)</f>
        <v>27</v>
      </c>
    </row>
    <row r="36" customFormat="false" ht="16.5" hidden="false" customHeight="true" outlineLevel="0" collapsed="false">
      <c r="A36" s="13" t="s">
        <v>494</v>
      </c>
      <c r="C36" s="31" t="n">
        <f aca="false">-ROUND(MAX(0,설정값!$B$15-C32)*INDEX($E$5:$E$20,MATCH($C$24,$B$5:$B$20,0))*C34,0)</f>
        <v>-23</v>
      </c>
    </row>
    <row r="37" customFormat="false" ht="16.5" hidden="false" customHeight="true" outlineLevel="0" collapsed="false">
      <c r="A37" s="13" t="s">
        <v>495</v>
      </c>
      <c r="C37" s="31" t="n">
        <f aca="false">C36-설정값!$B$21</f>
        <v>-33</v>
      </c>
    </row>
  </sheetData>
  <dataValidations count="2">
    <dataValidation allowBlank="false" errorStyle="stop" operator="between" showDropDown="false" showErrorMessage="false" showInputMessage="false" sqref="C24" type="list">
      <formula1>$B$5:$B$20</formula1>
      <formula2>0</formula2>
    </dataValidation>
    <dataValidation allowBlank="false" errorStyle="stop" operator="between" showDropDown="false" showErrorMessage="false" showInputMessage="false" sqref="C27:C28" type="list">
      <formula1>"예,아니오"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1"/>
    <col collapsed="false" customWidth="true" hidden="false" outlineLevel="0" max="3" min="3" style="1" width="14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6" min="6" style="1" width="13"/>
    <col collapsed="false" customWidth="true" hidden="false" outlineLevel="0" max="7" min="7" style="1" width="24"/>
    <col collapsed="false" customWidth="true" hidden="false" outlineLevel="0" max="8" min="8" style="1" width="15"/>
    <col collapsed="false" customWidth="true" hidden="false" outlineLevel="0" max="9" min="9" style="1" width="11"/>
    <col collapsed="false" customWidth="true" hidden="false" outlineLevel="0" max="11" min="10" style="1" width="16"/>
  </cols>
  <sheetData>
    <row r="1" customFormat="false" ht="21" hidden="false" customHeight="true" outlineLevel="0" collapsed="false">
      <c r="A1" s="2" t="s">
        <v>496</v>
      </c>
    </row>
    <row r="2" customFormat="false" ht="15" hidden="false" customHeight="true" outlineLevel="0" collapsed="false">
      <c r="A2" s="3" t="s">
        <v>497</v>
      </c>
    </row>
    <row r="3" customFormat="false" ht="15" hidden="false" customHeight="true" outlineLevel="0" collapsed="false">
      <c r="A3" s="19" t="s">
        <v>498</v>
      </c>
      <c r="C3" s="14" t="n">
        <v>100</v>
      </c>
    </row>
    <row r="4" customFormat="false" ht="30" hidden="false" customHeight="true" outlineLevel="0" collapsed="false">
      <c r="A4" s="4" t="s">
        <v>499</v>
      </c>
      <c r="B4" s="4" t="s">
        <v>500</v>
      </c>
      <c r="C4" s="4" t="s">
        <v>501</v>
      </c>
      <c r="D4" s="4" t="s">
        <v>502</v>
      </c>
      <c r="E4" s="4" t="s">
        <v>503</v>
      </c>
      <c r="F4" s="4" t="s">
        <v>504</v>
      </c>
      <c r="G4" s="4" t="s">
        <v>505</v>
      </c>
      <c r="H4" s="4" t="s">
        <v>506</v>
      </c>
      <c r="I4" s="4" t="s">
        <v>507</v>
      </c>
      <c r="J4" s="4" t="s">
        <v>508</v>
      </c>
    </row>
    <row r="5" customFormat="false" ht="15" hidden="false" customHeight="true" outlineLevel="0" collapsed="false">
      <c r="A5" s="13" t="s">
        <v>509</v>
      </c>
      <c r="B5" s="32" t="n">
        <v>500</v>
      </c>
      <c r="C5" s="14"/>
      <c r="D5" s="14"/>
      <c r="E5" s="11" t="n">
        <v>1</v>
      </c>
      <c r="F5" s="29" t="n">
        <f aca="false">ROUND($C$3*E5,0)</f>
        <v>100</v>
      </c>
      <c r="G5" s="14" t="s">
        <v>510</v>
      </c>
      <c r="H5" s="24" t="s">
        <v>511</v>
      </c>
      <c r="I5" s="24" t="s">
        <v>511</v>
      </c>
      <c r="J5" s="24" t="s">
        <v>510</v>
      </c>
    </row>
    <row r="6" customFormat="false" ht="15" hidden="false" customHeight="true" outlineLevel="0" collapsed="false">
      <c r="A6" s="13" t="s">
        <v>512</v>
      </c>
      <c r="B6" s="32" t="n">
        <v>1000</v>
      </c>
      <c r="C6" s="24" t="s">
        <v>513</v>
      </c>
      <c r="D6" s="14"/>
      <c r="E6" s="11" t="n">
        <v>1.1</v>
      </c>
      <c r="F6" s="29" t="n">
        <f aca="false">ROUND($C$3*E6,0)</f>
        <v>110</v>
      </c>
      <c r="G6" s="14" t="s">
        <v>514</v>
      </c>
      <c r="H6" s="24" t="s">
        <v>511</v>
      </c>
      <c r="I6" s="24" t="s">
        <v>511</v>
      </c>
      <c r="J6" s="24" t="s">
        <v>510</v>
      </c>
    </row>
    <row r="7" customFormat="false" ht="15" hidden="false" customHeight="true" outlineLevel="0" collapsed="false">
      <c r="A7" s="13" t="s">
        <v>515</v>
      </c>
      <c r="B7" s="32" t="n">
        <v>2000</v>
      </c>
      <c r="C7" s="24" t="s">
        <v>516</v>
      </c>
      <c r="D7" s="14"/>
      <c r="E7" s="11" t="n">
        <v>1.2</v>
      </c>
      <c r="F7" s="29" t="n">
        <f aca="false">ROUND($C$3*E7,0)</f>
        <v>120</v>
      </c>
      <c r="G7" s="24" t="s">
        <v>517</v>
      </c>
      <c r="H7" s="24" t="s">
        <v>511</v>
      </c>
      <c r="I7" s="24" t="s">
        <v>511</v>
      </c>
      <c r="J7" s="24" t="s">
        <v>510</v>
      </c>
    </row>
    <row r="8" customFormat="false" ht="15" hidden="false" customHeight="true" outlineLevel="0" collapsed="false">
      <c r="A8" s="13" t="s">
        <v>518</v>
      </c>
      <c r="B8" s="32" t="n">
        <v>3500</v>
      </c>
      <c r="C8" s="24" t="s">
        <v>519</v>
      </c>
      <c r="D8" s="24" t="s">
        <v>520</v>
      </c>
      <c r="E8" s="11" t="n">
        <v>1.3</v>
      </c>
      <c r="F8" s="29" t="n">
        <f aca="false">ROUND($C$3*E8,0)</f>
        <v>130</v>
      </c>
      <c r="G8" s="24" t="s">
        <v>517</v>
      </c>
      <c r="H8" s="24" t="s">
        <v>521</v>
      </c>
      <c r="I8" s="24" t="s">
        <v>511</v>
      </c>
      <c r="J8" s="24" t="s">
        <v>522</v>
      </c>
    </row>
    <row r="9" customFormat="false" ht="16.5" hidden="false" customHeight="true" outlineLevel="0" collapsed="false">
      <c r="A9" s="13" t="s">
        <v>523</v>
      </c>
      <c r="B9" s="32" t="n">
        <v>5000</v>
      </c>
      <c r="C9" s="24" t="s">
        <v>524</v>
      </c>
      <c r="D9" s="24" t="s">
        <v>520</v>
      </c>
      <c r="E9" s="11" t="n">
        <v>1.4</v>
      </c>
      <c r="F9" s="29" t="n">
        <f aca="false">ROUND($C$3*E9,0)</f>
        <v>140</v>
      </c>
      <c r="G9" s="24" t="s">
        <v>525</v>
      </c>
      <c r="H9" s="24" t="s">
        <v>521</v>
      </c>
      <c r="I9" s="24" t="s">
        <v>521</v>
      </c>
      <c r="J9" s="24" t="s">
        <v>522</v>
      </c>
    </row>
    <row r="10" customFormat="false" ht="16.5" hidden="false" customHeight="true" outlineLevel="0" collapsed="false">
      <c r="A10" s="13" t="s">
        <v>480</v>
      </c>
      <c r="B10" s="32" t="n">
        <v>8000</v>
      </c>
      <c r="C10" s="24" t="s">
        <v>526</v>
      </c>
      <c r="D10" s="24" t="s">
        <v>520</v>
      </c>
      <c r="E10" s="11" t="n">
        <v>1.5</v>
      </c>
      <c r="F10" s="29" t="n">
        <f aca="false">ROUND($C$3*E10,0)</f>
        <v>150</v>
      </c>
      <c r="G10" s="24" t="s">
        <v>527</v>
      </c>
      <c r="H10" s="24" t="s">
        <v>521</v>
      </c>
      <c r="I10" s="24" t="s">
        <v>521</v>
      </c>
      <c r="J10" s="24" t="s">
        <v>522</v>
      </c>
    </row>
    <row r="11" customFormat="false" ht="16.5" hidden="false" customHeight="true" outlineLevel="0" collapsed="false">
      <c r="A11" s="13" t="s">
        <v>528</v>
      </c>
      <c r="B11" s="32" t="n">
        <v>12000</v>
      </c>
      <c r="C11" s="24" t="s">
        <v>529</v>
      </c>
      <c r="D11" s="24" t="s">
        <v>530</v>
      </c>
      <c r="E11" s="11" t="n">
        <v>1.5</v>
      </c>
      <c r="F11" s="29" t="n">
        <f aca="false">ROUND($C$3*E11,0)</f>
        <v>150</v>
      </c>
      <c r="G11" s="24" t="s">
        <v>531</v>
      </c>
      <c r="H11" s="24" t="s">
        <v>521</v>
      </c>
      <c r="I11" s="24" t="s">
        <v>521</v>
      </c>
      <c r="J11" s="24" t="s">
        <v>522</v>
      </c>
    </row>
    <row r="13" customFormat="false" ht="16.5" hidden="false" customHeight="true" outlineLevel="0" collapsed="false">
      <c r="A13" s="13" t="s">
        <v>532</v>
      </c>
      <c r="B13" s="29" t="n">
        <f aca="false">SUM(B5:B11)</f>
        <v>32000</v>
      </c>
    </row>
    <row r="15" customFormat="false" ht="15" hidden="false" customHeight="true" outlineLevel="0" collapsed="false">
      <c r="A15" s="3" t="s">
        <v>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13"/>
    <col collapsed="false" customWidth="true" hidden="false" outlineLevel="0" max="6" min="6" style="1" width="17"/>
    <col collapsed="false" customWidth="true" hidden="false" outlineLevel="0" max="7" min="7" style="1" width="26"/>
  </cols>
  <sheetData>
    <row r="1" customFormat="false" ht="17.25" hidden="false" customHeight="true" outlineLevel="0" collapsed="false">
      <c r="A1" s="2" t="s">
        <v>534</v>
      </c>
    </row>
    <row r="2" customFormat="false" ht="15" hidden="false" customHeight="true" outlineLevel="0" collapsed="false">
      <c r="A2" s="3" t="s">
        <v>535</v>
      </c>
    </row>
    <row r="3" customFormat="false" ht="16.5" hidden="false" customHeight="true" outlineLevel="0" collapsed="false">
      <c r="A3" s="13" t="s">
        <v>536</v>
      </c>
      <c r="C3" s="14" t="n">
        <v>7</v>
      </c>
    </row>
    <row r="4" customFormat="false" ht="15" hidden="false" customHeight="true" outlineLevel="0" collapsed="false">
      <c r="A4" s="13" t="s">
        <v>537</v>
      </c>
      <c r="C4" s="14" t="n">
        <v>5</v>
      </c>
    </row>
    <row r="5" customFormat="false" ht="16.5" hidden="false" customHeight="true" outlineLevel="0" collapsed="false">
      <c r="A5" s="13" t="s">
        <v>538</v>
      </c>
      <c r="C5" s="14" t="n">
        <v>1</v>
      </c>
    </row>
    <row r="6" customFormat="false" ht="16.5" hidden="false" customHeight="true" outlineLevel="0" collapsed="false">
      <c r="A6" s="13" t="s">
        <v>539</v>
      </c>
      <c r="C6" s="17" t="n">
        <f aca="false">설정값!$B$29</f>
        <v>60</v>
      </c>
    </row>
    <row r="7" customFormat="false" ht="16.5" hidden="false" customHeight="true" outlineLevel="0" collapsed="false">
      <c r="A7" s="22" t="s">
        <v>540</v>
      </c>
      <c r="C7" s="14" t="n">
        <v>3</v>
      </c>
    </row>
    <row r="9" customFormat="false" ht="30" hidden="false" customHeight="true" outlineLevel="0" collapsed="false">
      <c r="A9" s="4" t="s">
        <v>541</v>
      </c>
      <c r="B9" s="4" t="s">
        <v>542</v>
      </c>
      <c r="C9" s="4" t="s">
        <v>543</v>
      </c>
      <c r="D9" s="4" t="s">
        <v>544</v>
      </c>
      <c r="E9" s="4" t="s">
        <v>545</v>
      </c>
      <c r="F9" s="4" t="s">
        <v>546</v>
      </c>
      <c r="G9" s="4" t="s">
        <v>547</v>
      </c>
    </row>
    <row r="10" customFormat="false" ht="15" hidden="false" customHeight="true" outlineLevel="0" collapsed="false">
      <c r="A10" s="13" t="n">
        <v>1</v>
      </c>
      <c r="B10" s="5" t="s">
        <v>548</v>
      </c>
      <c r="C10" s="14" t="n">
        <v>0</v>
      </c>
      <c r="D10" s="14" t="n">
        <v>0</v>
      </c>
      <c r="E10" s="10" t="n">
        <v>1</v>
      </c>
      <c r="F10" s="14" t="n">
        <v>0</v>
      </c>
      <c r="G10" s="5" t="n">
        <f aca="false">A10*$C$4</f>
        <v>5</v>
      </c>
    </row>
    <row r="11" customFormat="false" ht="15" hidden="false" customHeight="true" outlineLevel="0" collapsed="false">
      <c r="A11" s="13" t="n">
        <v>2</v>
      </c>
      <c r="B11" s="5" t="s">
        <v>549</v>
      </c>
      <c r="C11" s="14" t="n">
        <v>5</v>
      </c>
      <c r="D11" s="14" t="n">
        <v>3</v>
      </c>
      <c r="E11" s="10" t="n">
        <v>1</v>
      </c>
      <c r="F11" s="14" t="n">
        <v>0</v>
      </c>
      <c r="G11" s="5" t="n">
        <f aca="false">A11*$C$4</f>
        <v>10</v>
      </c>
    </row>
    <row r="12" customFormat="false" ht="16.5" hidden="false" customHeight="true" outlineLevel="0" collapsed="false">
      <c r="A12" s="13" t="n">
        <v>3</v>
      </c>
      <c r="B12" s="5" t="s">
        <v>550</v>
      </c>
      <c r="C12" s="14" t="n">
        <v>15</v>
      </c>
      <c r="D12" s="14" t="n">
        <v>5</v>
      </c>
      <c r="E12" s="10" t="n">
        <v>0.5</v>
      </c>
      <c r="F12" s="14" t="n">
        <v>0</v>
      </c>
      <c r="G12" s="5" t="n">
        <f aca="false">A12*$C$4</f>
        <v>15</v>
      </c>
    </row>
    <row r="13" customFormat="false" ht="15" hidden="false" customHeight="true" outlineLevel="0" collapsed="false">
      <c r="A13" s="13" t="n">
        <v>4</v>
      </c>
      <c r="B13" s="5" t="s">
        <v>551</v>
      </c>
      <c r="C13" s="14" t="n">
        <v>0</v>
      </c>
      <c r="D13" s="14" t="n">
        <v>0</v>
      </c>
      <c r="E13" s="10" t="n">
        <v>1</v>
      </c>
      <c r="F13" s="14" t="n">
        <v>24</v>
      </c>
      <c r="G13" s="5" t="n">
        <f aca="false">A13*$C$4</f>
        <v>20</v>
      </c>
    </row>
    <row r="14" customFormat="false" ht="16.5" hidden="false" customHeight="true" outlineLevel="0" collapsed="false">
      <c r="A14" s="13" t="n">
        <v>5</v>
      </c>
      <c r="B14" s="5" t="s">
        <v>552</v>
      </c>
      <c r="C14" s="14" t="n">
        <v>0</v>
      </c>
      <c r="D14" s="14" t="n">
        <v>0</v>
      </c>
      <c r="E14" s="10" t="n">
        <v>1</v>
      </c>
      <c r="F14" s="14" t="n">
        <v>72</v>
      </c>
      <c r="G14" s="5" t="n">
        <f aca="false">A14*$C$4</f>
        <v>25</v>
      </c>
    </row>
    <row r="16" customFormat="false" ht="16.5" hidden="false" customHeight="true" outlineLevel="0" collapsed="false">
      <c r="A16" s="19" t="s">
        <v>553</v>
      </c>
      <c r="C16" s="31" t="n">
        <f aca="false">-설정값!$B$15-설정값!$B$21</f>
        <v>-30</v>
      </c>
    </row>
    <row r="17" customFormat="false" ht="16.5" hidden="false" customHeight="true" outlineLevel="0" collapsed="false">
      <c r="A17" s="19" t="s">
        <v>554</v>
      </c>
      <c r="C17" s="31" t="n">
        <f aca="false">-설정값!$B$22</f>
        <v>-5</v>
      </c>
    </row>
    <row r="19" customFormat="false" ht="15" hidden="false" customHeight="true" outlineLevel="0" collapsed="false">
      <c r="A19" s="3" t="s">
        <v>555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4" min="4" style="1" width="50"/>
  </cols>
  <sheetData>
    <row r="1" customFormat="false" ht="21" hidden="false" customHeight="true" outlineLevel="0" collapsed="false">
      <c r="A1" s="2" t="s">
        <v>556</v>
      </c>
    </row>
    <row r="2" customFormat="false" ht="15" hidden="false" customHeight="true" outlineLevel="0" collapsed="false">
      <c r="A2" s="3" t="s">
        <v>557</v>
      </c>
    </row>
    <row r="3" customFormat="false" ht="15" hidden="false" customHeight="true" outlineLevel="0" collapsed="false">
      <c r="A3" s="13" t="s">
        <v>558</v>
      </c>
      <c r="C3" s="14" t="n">
        <v>9</v>
      </c>
    </row>
    <row r="4" customFormat="false" ht="15" hidden="false" customHeight="true" outlineLevel="0" collapsed="false">
      <c r="A4" s="13" t="s">
        <v>559</v>
      </c>
      <c r="C4" s="14" t="n">
        <v>0</v>
      </c>
    </row>
    <row r="5" customFormat="false" ht="16.5" hidden="false" customHeight="true" outlineLevel="0" collapsed="false">
      <c r="A5" s="13" t="s">
        <v>560</v>
      </c>
      <c r="C5" s="14" t="n">
        <v>2</v>
      </c>
    </row>
    <row r="7" customFormat="false" ht="16.5" hidden="false" customHeight="true" outlineLevel="0" collapsed="false">
      <c r="A7" s="4" t="s">
        <v>561</v>
      </c>
      <c r="B7" s="4" t="s">
        <v>2</v>
      </c>
      <c r="C7" s="4" t="s">
        <v>562</v>
      </c>
      <c r="D7" s="4" t="s">
        <v>563</v>
      </c>
    </row>
    <row r="8" customFormat="false" ht="16.5" hidden="false" customHeight="true" outlineLevel="0" collapsed="false">
      <c r="A8" s="5" t="s">
        <v>564</v>
      </c>
      <c r="B8" s="5" t="s">
        <v>565</v>
      </c>
      <c r="C8" s="5" t="n">
        <f aca="false">(C3+C4)*C5</f>
        <v>18</v>
      </c>
      <c r="D8" s="5" t="s">
        <v>566</v>
      </c>
    </row>
    <row r="9" customFormat="false" ht="16.5" hidden="false" customHeight="true" outlineLevel="0" collapsed="false">
      <c r="A9" s="5" t="s">
        <v>567</v>
      </c>
      <c r="B9" s="5" t="s">
        <v>568</v>
      </c>
      <c r="C9" s="14" t="n">
        <v>3</v>
      </c>
      <c r="D9" s="5" t="s">
        <v>569</v>
      </c>
    </row>
    <row r="10" customFormat="false" ht="15" hidden="false" customHeight="true" outlineLevel="0" collapsed="false">
      <c r="A10" s="5" t="s">
        <v>567</v>
      </c>
      <c r="B10" s="5" t="s">
        <v>570</v>
      </c>
      <c r="C10" s="14" t="n">
        <v>1</v>
      </c>
      <c r="D10" s="5" t="s">
        <v>571</v>
      </c>
    </row>
    <row r="11" customFormat="false" ht="16.5" hidden="false" customHeight="true" outlineLevel="0" collapsed="false">
      <c r="A11" s="5" t="s">
        <v>567</v>
      </c>
      <c r="B11" s="5" t="s">
        <v>572</v>
      </c>
      <c r="C11" s="14" t="n">
        <v>4</v>
      </c>
      <c r="D11" s="5" t="s">
        <v>573</v>
      </c>
    </row>
    <row r="12" customFormat="false" ht="15" hidden="false" customHeight="true" outlineLevel="0" collapsed="false">
      <c r="A12" s="5" t="s">
        <v>567</v>
      </c>
      <c r="B12" s="5" t="s">
        <v>574</v>
      </c>
      <c r="C12" s="14" t="n">
        <v>7</v>
      </c>
      <c r="D12" s="5"/>
    </row>
    <row r="13" customFormat="false" ht="15" hidden="false" customHeight="true" outlineLevel="0" collapsed="false">
      <c r="A13" s="5" t="s">
        <v>567</v>
      </c>
      <c r="B13" s="5" t="s">
        <v>575</v>
      </c>
      <c r="C13" s="14" t="n">
        <v>1</v>
      </c>
      <c r="D13" s="5"/>
    </row>
    <row r="14" customFormat="false" ht="15" hidden="false" customHeight="true" outlineLevel="0" collapsed="false">
      <c r="A14" s="5" t="s">
        <v>567</v>
      </c>
      <c r="B14" s="5" t="s">
        <v>576</v>
      </c>
      <c r="C14" s="14" t="n">
        <v>1</v>
      </c>
      <c r="D14" s="5"/>
    </row>
    <row r="15" customFormat="false" ht="16.5" hidden="false" customHeight="true" outlineLevel="0" collapsed="false">
      <c r="A15" s="5" t="s">
        <v>567</v>
      </c>
      <c r="B15" s="5" t="s">
        <v>577</v>
      </c>
      <c r="C15" s="14" t="n">
        <v>2</v>
      </c>
      <c r="D15" s="5" t="s">
        <v>578</v>
      </c>
    </row>
    <row r="16" customFormat="false" ht="16.5" hidden="false" customHeight="true" outlineLevel="0" collapsed="false">
      <c r="A16" s="5" t="s">
        <v>567</v>
      </c>
      <c r="B16" s="5" t="s">
        <v>579</v>
      </c>
      <c r="C16" s="14" t="n">
        <v>3</v>
      </c>
      <c r="D16" s="5" t="s">
        <v>580</v>
      </c>
    </row>
    <row r="17" customFormat="false" ht="16.5" hidden="false" customHeight="true" outlineLevel="0" collapsed="false">
      <c r="A17" s="5" t="s">
        <v>581</v>
      </c>
      <c r="B17" s="5" t="s">
        <v>582</v>
      </c>
      <c r="C17" s="14" t="n">
        <v>11</v>
      </c>
      <c r="D17" s="5" t="s">
        <v>583</v>
      </c>
    </row>
    <row r="18" customFormat="false" ht="15" hidden="false" customHeight="true" outlineLevel="0" collapsed="false">
      <c r="A18" s="5" t="s">
        <v>581</v>
      </c>
      <c r="B18" s="5" t="s">
        <v>584</v>
      </c>
      <c r="C18" s="14" t="n">
        <v>8</v>
      </c>
      <c r="D18" s="5"/>
    </row>
    <row r="19" customFormat="false" ht="16.5" hidden="false" customHeight="true" outlineLevel="0" collapsed="false">
      <c r="A19" s="5" t="s">
        <v>581</v>
      </c>
      <c r="B19" s="5" t="s">
        <v>585</v>
      </c>
      <c r="C19" s="14" t="n">
        <v>7</v>
      </c>
      <c r="D19" s="5" t="s">
        <v>586</v>
      </c>
    </row>
    <row r="20" customFormat="false" ht="16.5" hidden="false" customHeight="true" outlineLevel="0" collapsed="false">
      <c r="A20" s="5" t="s">
        <v>581</v>
      </c>
      <c r="B20" s="5" t="s">
        <v>587</v>
      </c>
      <c r="C20" s="14" t="n">
        <v>1</v>
      </c>
      <c r="D20" s="5" t="s">
        <v>515</v>
      </c>
    </row>
    <row r="21" customFormat="false" ht="16.5" hidden="false" customHeight="true" outlineLevel="0" collapsed="false">
      <c r="A21" s="7" t="s">
        <v>588</v>
      </c>
      <c r="B21" s="5" t="s">
        <v>589</v>
      </c>
      <c r="C21" s="14" t="n">
        <v>10</v>
      </c>
      <c r="D21" s="5" t="s">
        <v>590</v>
      </c>
    </row>
    <row r="22" customFormat="false" ht="16.5" hidden="false" customHeight="true" outlineLevel="0" collapsed="false">
      <c r="A22" s="7" t="s">
        <v>588</v>
      </c>
      <c r="B22" s="5" t="s">
        <v>591</v>
      </c>
      <c r="C22" s="14" t="n">
        <v>2</v>
      </c>
      <c r="D22" s="5" t="s">
        <v>592</v>
      </c>
    </row>
    <row r="23" customFormat="false" ht="15" hidden="false" customHeight="true" outlineLevel="0" collapsed="false">
      <c r="A23" s="7" t="s">
        <v>593</v>
      </c>
      <c r="B23" s="5" t="s">
        <v>594</v>
      </c>
      <c r="C23" s="14" t="n">
        <v>7</v>
      </c>
      <c r="D23" s="5" t="s">
        <v>595</v>
      </c>
    </row>
    <row r="24" customFormat="false" ht="16.5" hidden="false" customHeight="true" outlineLevel="0" collapsed="false">
      <c r="A24" s="7" t="s">
        <v>593</v>
      </c>
      <c r="B24" s="5" t="s">
        <v>596</v>
      </c>
      <c r="C24" s="14" t="n">
        <v>3</v>
      </c>
      <c r="D24" s="5"/>
    </row>
    <row r="25" customFormat="false" ht="16.5" hidden="false" customHeight="true" outlineLevel="0" collapsed="false">
      <c r="A25" s="7" t="s">
        <v>593</v>
      </c>
      <c r="B25" s="5" t="s">
        <v>597</v>
      </c>
      <c r="C25" s="14" t="n">
        <v>3</v>
      </c>
      <c r="D25" s="5"/>
    </row>
    <row r="26" customFormat="false" ht="16.5" hidden="false" customHeight="true" outlineLevel="0" collapsed="false">
      <c r="A26" s="7" t="s">
        <v>593</v>
      </c>
      <c r="B26" s="5" t="s">
        <v>598</v>
      </c>
      <c r="C26" s="14" t="n">
        <v>2</v>
      </c>
      <c r="D26" s="5"/>
    </row>
    <row r="27" customFormat="false" ht="16.5" hidden="false" customHeight="true" outlineLevel="0" collapsed="false">
      <c r="A27" s="5" t="s">
        <v>599</v>
      </c>
      <c r="B27" s="5" t="s">
        <v>600</v>
      </c>
      <c r="C27" s="14" t="n">
        <v>1</v>
      </c>
      <c r="D27" s="5" t="s">
        <v>601</v>
      </c>
    </row>
    <row r="28" customFormat="false" ht="15" hidden="false" customHeight="true" outlineLevel="0" collapsed="false">
      <c r="A28" s="5" t="s">
        <v>599</v>
      </c>
      <c r="B28" s="5" t="s">
        <v>602</v>
      </c>
      <c r="C28" s="14" t="n">
        <v>2</v>
      </c>
      <c r="D28" s="5"/>
    </row>
    <row r="29" customFormat="false" ht="15" hidden="false" customHeight="true" outlineLevel="0" collapsed="false">
      <c r="A29" s="5" t="s">
        <v>599</v>
      </c>
      <c r="B29" s="5" t="s">
        <v>603</v>
      </c>
      <c r="C29" s="14" t="n">
        <v>3</v>
      </c>
      <c r="D29" s="5"/>
    </row>
    <row r="30" customFormat="false" ht="15" hidden="false" customHeight="true" outlineLevel="0" collapsed="false">
      <c r="A30" s="5" t="s">
        <v>599</v>
      </c>
      <c r="B30" s="5" t="s">
        <v>604</v>
      </c>
      <c r="C30" s="14" t="n">
        <v>1</v>
      </c>
      <c r="D30" s="5"/>
    </row>
    <row r="31" customFormat="false" ht="16.5" hidden="false" customHeight="true" outlineLevel="0" collapsed="false">
      <c r="A31" s="5" t="s">
        <v>605</v>
      </c>
      <c r="B31" s="7" t="s">
        <v>606</v>
      </c>
      <c r="C31" s="14" t="n">
        <v>3</v>
      </c>
      <c r="D31" s="5" t="s">
        <v>607</v>
      </c>
    </row>
    <row r="32" customFormat="false" ht="15" hidden="false" customHeight="true" outlineLevel="0" collapsed="false">
      <c r="A32" s="5" t="s">
        <v>605</v>
      </c>
      <c r="B32" s="7" t="s">
        <v>608</v>
      </c>
      <c r="C32" s="14" t="n">
        <v>14</v>
      </c>
      <c r="D32" s="5"/>
    </row>
    <row r="33" customFormat="false" ht="15" hidden="false" customHeight="true" outlineLevel="0" collapsed="false">
      <c r="A33" s="13" t="s">
        <v>609</v>
      </c>
      <c r="C33" s="13" t="n">
        <f aca="false">SUM(C8:C32)</f>
        <v>118</v>
      </c>
    </row>
    <row r="34" customFormat="false" ht="16.5" hidden="false" customHeight="true" outlineLevel="0" collapsed="false">
      <c r="A34" s="13" t="s">
        <v>610</v>
      </c>
      <c r="C34" s="5" t="n">
        <f aca="false">C33-C8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30"/>
  </cols>
  <sheetData>
    <row r="1" customFormat="false" ht="21" hidden="false" customHeight="true" outlineLevel="0" collapsed="false">
      <c r="A1" s="2" t="s">
        <v>611</v>
      </c>
    </row>
    <row r="2" customFormat="false" ht="15" hidden="false" customHeight="true" outlineLevel="0" collapsed="false">
      <c r="A2" s="3" t="s">
        <v>612</v>
      </c>
    </row>
    <row r="3" customFormat="false" ht="16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395</v>
      </c>
      <c r="E3" s="4" t="s">
        <v>6</v>
      </c>
    </row>
    <row r="4" customFormat="false" ht="16.5" hidden="false" customHeight="true" outlineLevel="0" collapsed="false">
      <c r="A4" s="5" t="s">
        <v>613</v>
      </c>
      <c r="B4" s="32" t="n">
        <v>8</v>
      </c>
      <c r="C4" s="5" t="s">
        <v>16</v>
      </c>
      <c r="D4" s="5" t="s">
        <v>614</v>
      </c>
    </row>
    <row r="5" customFormat="false" ht="15" hidden="false" customHeight="true" outlineLevel="0" collapsed="false">
      <c r="A5" s="5" t="s">
        <v>615</v>
      </c>
      <c r="B5" s="10" t="n">
        <v>0.5</v>
      </c>
      <c r="C5" s="5" t="s">
        <v>12</v>
      </c>
      <c r="D5" s="5"/>
    </row>
    <row r="6" customFormat="false" ht="16.5" hidden="false" customHeight="true" outlineLevel="0" collapsed="false">
      <c r="A6" s="5" t="s">
        <v>616</v>
      </c>
      <c r="B6" s="32" t="n">
        <v>30</v>
      </c>
      <c r="C6" s="5" t="s">
        <v>617</v>
      </c>
      <c r="D6" s="5" t="s">
        <v>618</v>
      </c>
      <c r="E6" s="5" t="s">
        <v>619</v>
      </c>
    </row>
    <row r="7" customFormat="false" ht="16.5" hidden="false" customHeight="true" outlineLevel="0" collapsed="false">
      <c r="A7" s="5" t="s">
        <v>620</v>
      </c>
      <c r="B7" s="32" t="n">
        <v>10</v>
      </c>
      <c r="C7" s="5" t="s">
        <v>621</v>
      </c>
      <c r="D7" s="5"/>
      <c r="E7" s="5" t="s">
        <v>622</v>
      </c>
    </row>
    <row r="8" customFormat="false" ht="15" hidden="false" customHeight="true" outlineLevel="0" collapsed="false">
      <c r="A8" s="5" t="s">
        <v>498</v>
      </c>
      <c r="B8" s="33" t="n">
        <f aca="false">랭크보상!C3</f>
        <v>100</v>
      </c>
      <c r="C8" s="5" t="s">
        <v>515</v>
      </c>
      <c r="D8" s="5" t="s">
        <v>623</v>
      </c>
    </row>
    <row r="9" customFormat="false" ht="16.5" hidden="false" customHeight="true" outlineLevel="0" collapsed="false">
      <c r="A9" s="5" t="s">
        <v>624</v>
      </c>
      <c r="B9" s="34" t="n">
        <f aca="false">랭크보상!E7</f>
        <v>1.2</v>
      </c>
      <c r="C9" s="5" t="s">
        <v>68</v>
      </c>
      <c r="D9" s="5" t="s">
        <v>625</v>
      </c>
    </row>
    <row r="10" customFormat="false" ht="16.5" hidden="false" customHeight="true" outlineLevel="0" collapsed="false">
      <c r="A10" s="5" t="s">
        <v>626</v>
      </c>
      <c r="B10" s="32" t="n">
        <v>300</v>
      </c>
      <c r="C10" s="5" t="s">
        <v>627</v>
      </c>
      <c r="D10" s="5"/>
    </row>
    <row r="11" customFormat="false" ht="16.5" hidden="false" customHeight="true" outlineLevel="0" collapsed="false">
      <c r="A11" s="5" t="s">
        <v>628</v>
      </c>
      <c r="B11" s="32" t="n">
        <v>1000</v>
      </c>
      <c r="C11" s="5" t="s">
        <v>629</v>
      </c>
      <c r="D11" s="5"/>
    </row>
    <row r="12" customFormat="false" ht="16.5" hidden="false" customHeight="true" outlineLevel="0" collapsed="false">
      <c r="A12" s="5" t="s">
        <v>630</v>
      </c>
      <c r="B12" s="32" t="n">
        <v>1400</v>
      </c>
      <c r="C12" s="5" t="s">
        <v>629</v>
      </c>
      <c r="D12" s="5"/>
      <c r="E12" s="5" t="s">
        <v>631</v>
      </c>
    </row>
    <row r="13" customFormat="false" ht="16.5" hidden="false" customHeight="true" outlineLevel="0" collapsed="false">
      <c r="A13" s="5" t="s">
        <v>632</v>
      </c>
      <c r="B13" s="32" t="n">
        <v>1000</v>
      </c>
      <c r="C13" s="5" t="s">
        <v>629</v>
      </c>
      <c r="D13" s="5"/>
      <c r="E13" s="5" t="s">
        <v>633</v>
      </c>
    </row>
    <row r="14" customFormat="false" ht="16.5" hidden="false" customHeight="true" outlineLevel="0" collapsed="false">
      <c r="A14" s="5" t="s">
        <v>634</v>
      </c>
      <c r="B14" s="32" t="n">
        <v>2000</v>
      </c>
      <c r="C14" s="5" t="s">
        <v>629</v>
      </c>
      <c r="D14" s="5" t="s">
        <v>635</v>
      </c>
    </row>
    <row r="15" customFormat="false" ht="15" hidden="false" customHeight="true" outlineLevel="0" collapsed="false">
      <c r="A15" s="5" t="s">
        <v>636</v>
      </c>
      <c r="B15" s="32" t="n">
        <v>28</v>
      </c>
      <c r="C15" s="5" t="s">
        <v>637</v>
      </c>
      <c r="D15" s="5"/>
      <c r="E15" s="5" t="s">
        <v>638</v>
      </c>
    </row>
    <row r="17" customFormat="false" ht="15" hidden="false" customHeight="true" outlineLevel="0" collapsed="false">
      <c r="A17" s="19" t="s">
        <v>639</v>
      </c>
    </row>
    <row r="18" customFormat="false" ht="15" hidden="false" customHeight="true" outlineLevel="0" collapsed="false">
      <c r="A18" s="5" t="s">
        <v>640</v>
      </c>
      <c r="B18" s="35" t="n">
        <f aca="false">MIN($B$4*$B$5,$B$7)</f>
        <v>4</v>
      </c>
      <c r="C18" s="5" t="s">
        <v>621</v>
      </c>
    </row>
    <row r="19" customFormat="false" ht="16.5" hidden="false" customHeight="true" outlineLevel="0" collapsed="false">
      <c r="A19" s="5" t="s">
        <v>641</v>
      </c>
      <c r="B19" s="29" t="n">
        <f aca="false">$B$10+$B$6*B18+$B$8*$B$9+$B$11/7+$B$12/7+$B$13/7+$B$14/7</f>
        <v>1311.42857142857</v>
      </c>
      <c r="C19" s="5" t="s">
        <v>627</v>
      </c>
    </row>
    <row r="21" customFormat="false" ht="16.5" hidden="false" customHeight="true" outlineLevel="0" collapsed="false">
      <c r="A21" s="19" t="s">
        <v>642</v>
      </c>
    </row>
    <row r="22" customFormat="false" ht="16.5" hidden="false" customHeight="true" outlineLevel="0" collapsed="false">
      <c r="A22" s="4" t="s">
        <v>643</v>
      </c>
      <c r="B22" s="4" t="s">
        <v>644</v>
      </c>
      <c r="C22" s="4" t="s">
        <v>645</v>
      </c>
      <c r="D22" s="4" t="s">
        <v>646</v>
      </c>
      <c r="E22" s="4" t="s">
        <v>563</v>
      </c>
    </row>
    <row r="23" customFormat="false" ht="16.5" hidden="false" customHeight="true" outlineLevel="0" collapsed="false">
      <c r="A23" s="5" t="s">
        <v>647</v>
      </c>
      <c r="B23" s="36" t="n">
        <v>7900</v>
      </c>
      <c r="C23" s="32" t="n">
        <v>8000</v>
      </c>
      <c r="D23" s="35" t="n">
        <f aca="false">C23/$B$19</f>
        <v>6.10021786492375</v>
      </c>
      <c r="E23" s="5" t="s">
        <v>648</v>
      </c>
    </row>
    <row r="24" customFormat="false" ht="16.5" hidden="false" customHeight="true" outlineLevel="0" collapsed="false">
      <c r="A24" s="5" t="s">
        <v>649</v>
      </c>
      <c r="B24" s="36" t="n">
        <v>15900</v>
      </c>
      <c r="C24" s="5" t="s">
        <v>510</v>
      </c>
      <c r="D24" s="5" t="s">
        <v>510</v>
      </c>
      <c r="E24" s="5" t="s">
        <v>650</v>
      </c>
    </row>
    <row r="25" customFormat="false" ht="16.5" hidden="false" customHeight="true" outlineLevel="0" collapsed="false">
      <c r="A25" s="5" t="s">
        <v>651</v>
      </c>
      <c r="B25" s="36" t="n">
        <v>23900</v>
      </c>
      <c r="C25" s="5" t="s">
        <v>510</v>
      </c>
      <c r="D25" s="5" t="s">
        <v>510</v>
      </c>
      <c r="E25" s="5" t="s">
        <v>652</v>
      </c>
    </row>
    <row r="26" customFormat="false" ht="16.5" hidden="false" customHeight="true" outlineLevel="0" collapsed="false">
      <c r="A26" s="5" t="s">
        <v>653</v>
      </c>
      <c r="B26" s="36" t="n">
        <v>7900</v>
      </c>
      <c r="C26" s="5" t="s">
        <v>510</v>
      </c>
      <c r="D26" s="5" t="s">
        <v>510</v>
      </c>
      <c r="E26" s="5" t="s">
        <v>654</v>
      </c>
    </row>
    <row r="27" customFormat="false" ht="16.5" hidden="false" customHeight="true" outlineLevel="0" collapsed="false">
      <c r="A27" s="5" t="s">
        <v>655</v>
      </c>
      <c r="B27" s="36" t="n">
        <v>5900</v>
      </c>
      <c r="C27" s="32" t="n">
        <v>6000</v>
      </c>
      <c r="D27" s="35" t="n">
        <f aca="false">C27/$B$19</f>
        <v>4.57516339869281</v>
      </c>
      <c r="E27" s="5"/>
    </row>
    <row r="28" customFormat="false" ht="16.5" hidden="false" customHeight="true" outlineLevel="0" collapsed="false">
      <c r="A28" s="5" t="s">
        <v>656</v>
      </c>
      <c r="B28" s="36" t="n">
        <v>2900</v>
      </c>
      <c r="C28" s="32" t="n">
        <v>3000</v>
      </c>
      <c r="D28" s="35" t="n">
        <f aca="false">C28/$B$19</f>
        <v>2.28758169934641</v>
      </c>
      <c r="E28" s="5" t="s">
        <v>657</v>
      </c>
    </row>
    <row r="29" customFormat="false" ht="16.5" hidden="false" customHeight="true" outlineLevel="0" collapsed="false">
      <c r="A29" s="5" t="s">
        <v>658</v>
      </c>
      <c r="B29" s="5" t="s">
        <v>510</v>
      </c>
      <c r="C29" s="32" t="n">
        <v>4000</v>
      </c>
      <c r="D29" s="35" t="n">
        <f aca="false">C29/$B$19</f>
        <v>3.05010893246187</v>
      </c>
      <c r="E29" s="5" t="s">
        <v>659</v>
      </c>
    </row>
    <row r="31" customFormat="false" ht="16.5" hidden="false" customHeight="true" outlineLevel="0" collapsed="false">
      <c r="A31" s="5" t="s">
        <v>660</v>
      </c>
      <c r="B31" s="10" t="n">
        <v>0.2</v>
      </c>
      <c r="E31" s="5" t="s">
        <v>661</v>
      </c>
    </row>
    <row r="32" customFormat="false" ht="16.5" hidden="false" customHeight="true" outlineLevel="0" collapsed="false">
      <c r="A32" s="5" t="s">
        <v>662</v>
      </c>
      <c r="B32" s="36" t="n">
        <v>19900</v>
      </c>
      <c r="E32" s="5" t="s">
        <v>663</v>
      </c>
    </row>
    <row r="33" customFormat="false" ht="16.5" hidden="false" customHeight="true" outlineLevel="0" collapsed="false">
      <c r="A33" s="5" t="s">
        <v>664</v>
      </c>
      <c r="B33" s="36" t="n">
        <v>9900</v>
      </c>
      <c r="E33" s="5" t="s">
        <v>665</v>
      </c>
    </row>
    <row r="34" customFormat="false" ht="17.15" hidden="false" customHeight="false" outlineLevel="0" collapsed="false">
      <c r="A34" s="5" t="s">
        <v>666</v>
      </c>
      <c r="B34" s="32" t="n">
        <v>3000</v>
      </c>
      <c r="C34" s="5" t="s">
        <v>667</v>
      </c>
      <c r="D34" s="5" t="s">
        <v>668</v>
      </c>
      <c r="E34" s="5" t="s">
        <v>669</v>
      </c>
    </row>
    <row r="35" customFormat="false" ht="17.15" hidden="false" customHeight="false" outlineLevel="0" collapsed="false">
      <c r="A35" s="5" t="s">
        <v>670</v>
      </c>
      <c r="B35" s="32" t="n">
        <v>500</v>
      </c>
      <c r="C35" s="5" t="s">
        <v>671</v>
      </c>
      <c r="D35" s="5" t="s">
        <v>672</v>
      </c>
      <c r="E35" s="5" t="s">
        <v>673</v>
      </c>
    </row>
    <row r="36" customFormat="false" ht="17.15" hidden="false" customHeight="false" outlineLevel="0" collapsed="false">
      <c r="A36" s="5" t="s">
        <v>674</v>
      </c>
      <c r="B36" s="32" t="n">
        <v>15</v>
      </c>
      <c r="C36" s="5" t="s">
        <v>617</v>
      </c>
      <c r="D36" s="5" t="s">
        <v>675</v>
      </c>
      <c r="E36" s="5" t="s">
        <v>676</v>
      </c>
    </row>
    <row r="37" customFormat="false" ht="17.15" hidden="false" customHeight="false" outlineLevel="0" collapsed="false">
      <c r="A37" s="5" t="s">
        <v>677</v>
      </c>
      <c r="B37" s="32" t="n">
        <v>3</v>
      </c>
      <c r="C37" s="5" t="s">
        <v>16</v>
      </c>
      <c r="D37" s="5" t="s">
        <v>678</v>
      </c>
      <c r="E37" s="5" t="s">
        <v>679</v>
      </c>
    </row>
    <row r="38" customFormat="false" ht="15" hidden="false" customHeight="false" outlineLevel="0" collapsed="false">
      <c r="A38" s="3" t="s">
        <v>680</v>
      </c>
    </row>
    <row r="40" customFormat="false" ht="15" hidden="false" customHeight="false" outlineLevel="0" collapsed="false">
      <c r="A40" s="3" t="s">
        <v>681</v>
      </c>
    </row>
    <row r="41" customFormat="false" ht="17.15" hidden="false" customHeight="false" outlineLevel="0" collapsed="false">
      <c r="A41" s="4" t="s">
        <v>247</v>
      </c>
      <c r="B41" s="4" t="s">
        <v>157</v>
      </c>
      <c r="C41" s="4" t="s">
        <v>682</v>
      </c>
      <c r="D41" s="4" t="s">
        <v>683</v>
      </c>
      <c r="E41" s="4" t="s">
        <v>684</v>
      </c>
      <c r="F41" s="4" t="s">
        <v>685</v>
      </c>
      <c r="G41" s="4" t="s">
        <v>686</v>
      </c>
      <c r="H41" s="4" t="s">
        <v>515</v>
      </c>
    </row>
    <row r="42" customFormat="false" ht="17.15" hidden="false" customHeight="false" outlineLevel="0" collapsed="false">
      <c r="A42" s="5" t="s">
        <v>687</v>
      </c>
      <c r="B42" s="36" t="s">
        <v>688</v>
      </c>
      <c r="C42" s="37" t="s">
        <v>689</v>
      </c>
      <c r="D42" s="35" t="s">
        <v>690</v>
      </c>
      <c r="E42" s="5" t="n">
        <v>3</v>
      </c>
      <c r="F42" s="5"/>
      <c r="G42" s="5" t="s">
        <v>691</v>
      </c>
      <c r="H42" s="5" t="n">
        <v>100</v>
      </c>
    </row>
    <row r="43" customFormat="false" ht="17.15" hidden="false" customHeight="false" outlineLevel="0" collapsed="false">
      <c r="A43" s="5" t="s">
        <v>687</v>
      </c>
      <c r="B43" s="36" t="s">
        <v>692</v>
      </c>
      <c r="C43" s="32" t="s">
        <v>693</v>
      </c>
      <c r="D43" s="35" t="s">
        <v>694</v>
      </c>
      <c r="E43" s="5" t="n">
        <v>2</v>
      </c>
      <c r="F43" s="5"/>
      <c r="G43" s="5" t="s">
        <v>695</v>
      </c>
      <c r="H43" s="5" t="n">
        <v>100</v>
      </c>
    </row>
    <row r="44" customFormat="false" ht="17.15" hidden="false" customHeight="false" outlineLevel="0" collapsed="false">
      <c r="A44" s="5" t="s">
        <v>687</v>
      </c>
      <c r="B44" s="36" t="s">
        <v>696</v>
      </c>
      <c r="C44" s="37" t="s">
        <v>697</v>
      </c>
      <c r="D44" s="35" t="s">
        <v>698</v>
      </c>
      <c r="E44" s="5" t="n">
        <v>5</v>
      </c>
      <c r="F44" s="5"/>
      <c r="G44" s="5" t="s">
        <v>695</v>
      </c>
      <c r="H44" s="5" t="n">
        <v>100</v>
      </c>
    </row>
    <row r="45" customFormat="false" ht="17.15" hidden="false" customHeight="false" outlineLevel="0" collapsed="false">
      <c r="A45" s="5" t="s">
        <v>687</v>
      </c>
      <c r="B45" s="36" t="s">
        <v>699</v>
      </c>
      <c r="C45" s="37" t="s">
        <v>700</v>
      </c>
      <c r="D45" s="35" t="s">
        <v>701</v>
      </c>
      <c r="E45" s="5" t="n">
        <v>3</v>
      </c>
      <c r="F45" s="5"/>
      <c r="G45" s="5" t="s">
        <v>695</v>
      </c>
      <c r="H45" s="5" t="n">
        <v>100</v>
      </c>
    </row>
    <row r="46" customFormat="false" ht="17.15" hidden="false" customHeight="false" outlineLevel="0" collapsed="false">
      <c r="A46" s="5" t="s">
        <v>687</v>
      </c>
      <c r="B46" s="36" t="s">
        <v>702</v>
      </c>
      <c r="C46" s="32" t="s">
        <v>703</v>
      </c>
      <c r="D46" s="35" t="s">
        <v>690</v>
      </c>
      <c r="E46" s="5" t="n">
        <v>4</v>
      </c>
      <c r="F46" s="5"/>
      <c r="G46" s="5" t="s">
        <v>695</v>
      </c>
      <c r="H46" s="5" t="n">
        <v>100</v>
      </c>
    </row>
    <row r="47" customFormat="false" ht="17.15" hidden="false" customHeight="false" outlineLevel="0" collapsed="false">
      <c r="A47" s="5" t="s">
        <v>704</v>
      </c>
      <c r="B47" s="36" t="s">
        <v>705</v>
      </c>
      <c r="C47" s="37" t="s">
        <v>706</v>
      </c>
      <c r="D47" s="35" t="s">
        <v>690</v>
      </c>
      <c r="E47" s="5" t="n">
        <v>15</v>
      </c>
      <c r="F47" s="5"/>
      <c r="G47" s="5" t="s">
        <v>691</v>
      </c>
      <c r="H47" s="5" t="n">
        <v>200</v>
      </c>
    </row>
    <row r="48" customFormat="false" ht="17.15" hidden="false" customHeight="false" outlineLevel="0" collapsed="false">
      <c r="A48" s="5" t="s">
        <v>704</v>
      </c>
      <c r="B48" s="36" t="s">
        <v>707</v>
      </c>
      <c r="C48" s="37" t="s">
        <v>708</v>
      </c>
      <c r="D48" s="35" t="s">
        <v>709</v>
      </c>
      <c r="E48" s="5" t="n">
        <v>1</v>
      </c>
      <c r="F48" s="5" t="s">
        <v>710</v>
      </c>
      <c r="G48" s="5" t="s">
        <v>695</v>
      </c>
      <c r="H48" s="5" t="n">
        <v>200</v>
      </c>
    </row>
    <row r="49" customFormat="false" ht="17.15" hidden="false" customHeight="false" outlineLevel="0" collapsed="false">
      <c r="A49" s="5" t="s">
        <v>704</v>
      </c>
      <c r="B49" s="36" t="s">
        <v>711</v>
      </c>
      <c r="C49" s="37" t="s">
        <v>712</v>
      </c>
      <c r="D49" s="35" t="s">
        <v>713</v>
      </c>
      <c r="E49" s="5" t="n">
        <v>1</v>
      </c>
      <c r="F49" s="5"/>
      <c r="G49" s="5" t="s">
        <v>714</v>
      </c>
      <c r="H49" s="5" t="n">
        <v>200</v>
      </c>
    </row>
    <row r="50" customFormat="false" ht="17.15" hidden="false" customHeight="false" outlineLevel="0" collapsed="false">
      <c r="A50" s="5" t="s">
        <v>704</v>
      </c>
      <c r="B50" s="36" t="s">
        <v>715</v>
      </c>
      <c r="C50" s="32" t="s">
        <v>716</v>
      </c>
      <c r="D50" s="35" t="s">
        <v>694</v>
      </c>
      <c r="E50" s="5" t="n">
        <v>10</v>
      </c>
      <c r="F50" s="5"/>
      <c r="G50" s="5" t="s">
        <v>695</v>
      </c>
      <c r="H50" s="5" t="n">
        <v>200</v>
      </c>
    </row>
    <row r="51" customFormat="false" ht="17.15" hidden="false" customHeight="false" outlineLevel="0" collapsed="false">
      <c r="A51" s="5" t="s">
        <v>704</v>
      </c>
      <c r="B51" s="36" t="s">
        <v>717</v>
      </c>
      <c r="C51" s="37" t="s">
        <v>718</v>
      </c>
      <c r="D51" s="35" t="s">
        <v>698</v>
      </c>
      <c r="E51" s="5" t="n">
        <v>30</v>
      </c>
      <c r="F51" s="5"/>
      <c r="G51" s="5" t="s">
        <v>695</v>
      </c>
      <c r="H51" s="5" t="n">
        <v>200</v>
      </c>
    </row>
    <row r="52" customFormat="false" ht="15" hidden="false" customHeight="false" outlineLevel="0" collapsed="false">
      <c r="A52" s="5" t="s">
        <v>719</v>
      </c>
      <c r="B52" s="36" t="s">
        <v>720</v>
      </c>
      <c r="C52" s="37" t="s">
        <v>721</v>
      </c>
      <c r="D52" s="35" t="s">
        <v>722</v>
      </c>
      <c r="E52" s="5" t="n">
        <v>1</v>
      </c>
      <c r="F52" s="5" t="s">
        <v>723</v>
      </c>
      <c r="G52" s="5" t="s">
        <v>724</v>
      </c>
      <c r="H52" s="5" t="n">
        <v>500</v>
      </c>
    </row>
    <row r="53" customFormat="false" ht="17.15" hidden="false" customHeight="false" outlineLevel="0" collapsed="false">
      <c r="A53" s="5" t="s">
        <v>719</v>
      </c>
      <c r="B53" s="36" t="s">
        <v>725</v>
      </c>
      <c r="C53" s="37" t="s">
        <v>726</v>
      </c>
      <c r="D53" s="35" t="s">
        <v>727</v>
      </c>
      <c r="E53" s="5" t="n">
        <v>3</v>
      </c>
      <c r="F53" s="5" t="s">
        <v>728</v>
      </c>
      <c r="G53" s="5" t="s">
        <v>695</v>
      </c>
      <c r="H53" s="5" t="n">
        <v>500</v>
      </c>
    </row>
    <row r="54" customFormat="false" ht="17.15" hidden="false" customHeight="false" outlineLevel="0" collapsed="false">
      <c r="A54" s="5" t="s">
        <v>719</v>
      </c>
      <c r="B54" s="36" t="s">
        <v>729</v>
      </c>
      <c r="C54" s="32" t="s">
        <v>730</v>
      </c>
      <c r="D54" s="35" t="s">
        <v>694</v>
      </c>
      <c r="E54" s="5" t="n">
        <v>30</v>
      </c>
      <c r="F54" s="5"/>
      <c r="G54" s="5" t="s">
        <v>695</v>
      </c>
      <c r="H54" s="5" t="n">
        <v>500</v>
      </c>
    </row>
    <row r="55" customFormat="false" ht="17.15" hidden="false" customHeight="false" outlineLevel="0" collapsed="false">
      <c r="A55" s="5" t="s">
        <v>719</v>
      </c>
      <c r="B55" s="36" t="s">
        <v>731</v>
      </c>
      <c r="C55" s="37" t="s">
        <v>732</v>
      </c>
      <c r="D55" s="35" t="s">
        <v>690</v>
      </c>
      <c r="E55" s="5" t="n">
        <v>60</v>
      </c>
      <c r="F55" s="5"/>
      <c r="G55" s="5" t="s">
        <v>691</v>
      </c>
      <c r="H55" s="5" t="n">
        <v>500</v>
      </c>
    </row>
    <row r="56" customFormat="false" ht="17.15" hidden="false" customHeight="false" outlineLevel="0" collapsed="false">
      <c r="A56" s="5" t="s">
        <v>719</v>
      </c>
      <c r="B56" s="36" t="s">
        <v>733</v>
      </c>
      <c r="C56" s="37" t="s">
        <v>734</v>
      </c>
      <c r="D56" s="35" t="s">
        <v>709</v>
      </c>
      <c r="E56" s="5" t="n">
        <v>5</v>
      </c>
      <c r="F56" s="5" t="s">
        <v>710</v>
      </c>
      <c r="G56" s="5" t="s">
        <v>695</v>
      </c>
      <c r="H56" s="5" t="n">
        <v>500</v>
      </c>
    </row>
    <row r="57" customFormat="false" ht="17.15" hidden="false" customHeight="false" outlineLevel="0" collapsed="false">
      <c r="A57" s="5" t="s">
        <v>719</v>
      </c>
      <c r="B57" s="36" t="s">
        <v>735</v>
      </c>
      <c r="C57" s="37" t="s">
        <v>736</v>
      </c>
      <c r="D57" s="35" t="s">
        <v>713</v>
      </c>
      <c r="E57" s="5" t="n">
        <v>5</v>
      </c>
      <c r="F57" s="5"/>
      <c r="G57" s="5" t="s">
        <v>714</v>
      </c>
      <c r="H57" s="5" t="n">
        <v>500</v>
      </c>
    </row>
    <row r="58" customFormat="false" ht="17.15" hidden="false" customHeight="false" outlineLevel="0" collapsed="false">
      <c r="A58" s="5" t="s">
        <v>719</v>
      </c>
      <c r="B58" s="36" t="s">
        <v>737</v>
      </c>
      <c r="C58" s="37" t="s">
        <v>738</v>
      </c>
      <c r="D58" s="35" t="s">
        <v>698</v>
      </c>
      <c r="E58" s="5" t="n">
        <v>100</v>
      </c>
      <c r="F58" s="5"/>
      <c r="G58" s="5" t="s">
        <v>695</v>
      </c>
      <c r="H58" s="5" t="n">
        <v>500</v>
      </c>
    </row>
    <row r="59" customFormat="false" ht="17.15" hidden="false" customHeight="false" outlineLevel="0" collapsed="false">
      <c r="A59" s="5" t="s">
        <v>719</v>
      </c>
      <c r="B59" s="36" t="s">
        <v>739</v>
      </c>
      <c r="C59" s="37" t="s">
        <v>740</v>
      </c>
      <c r="D59" s="35" t="s">
        <v>701</v>
      </c>
      <c r="E59" s="5" t="n">
        <v>60</v>
      </c>
      <c r="F59" s="5"/>
      <c r="G59" s="5" t="s">
        <v>695</v>
      </c>
      <c r="H59" s="5" t="n">
        <v>500</v>
      </c>
    </row>
    <row r="60" customFormat="false" ht="17.15" hidden="false" customHeight="false" outlineLevel="0" collapsed="false">
      <c r="A60" s="5" t="s">
        <v>719</v>
      </c>
      <c r="B60" s="36" t="s">
        <v>741</v>
      </c>
      <c r="C60" s="37" t="s">
        <v>742</v>
      </c>
      <c r="D60" s="35" t="s">
        <v>727</v>
      </c>
      <c r="E60" s="5" t="n">
        <v>1</v>
      </c>
      <c r="F60" s="5" t="s">
        <v>743</v>
      </c>
      <c r="G60" s="5" t="s">
        <v>695</v>
      </c>
      <c r="H60" s="5" t="n">
        <v>500</v>
      </c>
    </row>
    <row r="61" customFormat="false" ht="15" hidden="false" customHeight="false" outlineLevel="0" collapsed="false">
      <c r="A61" s="5" t="s">
        <v>719</v>
      </c>
      <c r="B61" s="36" t="s">
        <v>744</v>
      </c>
      <c r="C61" s="37" t="s">
        <v>745</v>
      </c>
      <c r="D61" s="35" t="s">
        <v>722</v>
      </c>
      <c r="E61" s="5" t="n">
        <v>1</v>
      </c>
      <c r="F61" s="5" t="s">
        <v>746</v>
      </c>
      <c r="G61" s="5" t="s">
        <v>724</v>
      </c>
      <c r="H61" s="5" t="n">
        <v>500</v>
      </c>
    </row>
    <row r="63" customFormat="false" ht="17.15" hidden="false" customHeight="false" outlineLevel="0" collapsed="false">
      <c r="A63" s="5" t="s">
        <v>747</v>
      </c>
      <c r="B63" s="36" t="n">
        <f aca="false">SUMIF(A42:A46,"일일",H42:H46)/5*3</f>
        <v>300</v>
      </c>
      <c r="C63" s="32" t="str">
        <f aca="false">IF(B63=$B$10,"OK","NG")</f>
        <v>OK</v>
      </c>
    </row>
    <row r="64" customFormat="false" ht="17.15" hidden="false" customHeight="false" outlineLevel="0" collapsed="false">
      <c r="A64" s="5" t="s">
        <v>748</v>
      </c>
      <c r="B64" s="36" t="n">
        <f aca="false">SUMIF(A47:A51,"주간",H47:H51)</f>
        <v>1000</v>
      </c>
      <c r="C64" s="32" t="str">
        <f aca="false">IF(B64=$B$11,"OK","NG")</f>
        <v>OK</v>
      </c>
    </row>
    <row r="65" customFormat="false" ht="17.15" hidden="false" customHeight="false" outlineLevel="0" collapsed="false">
      <c r="A65" s="5" t="s">
        <v>749</v>
      </c>
      <c r="B65" s="36" t="n">
        <f aca="false">SUMIF(A52:A61,"시즌",H52:H61)</f>
        <v>5000</v>
      </c>
      <c r="C65" s="32" t="str">
        <f aca="false">IF(B65=$B$35*10,"OK","NG")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6"/>
    <col collapsed="false" customWidth="true" hidden="false" outlineLevel="0" max="18" min="3" style="1" width="11"/>
  </cols>
  <sheetData>
    <row r="1" customFormat="false" ht="21" hidden="false" customHeight="true" outlineLevel="0" collapsed="false">
      <c r="A1" s="2" t="s">
        <v>750</v>
      </c>
    </row>
    <row r="2" customFormat="false" ht="15" hidden="false" customHeight="true" outlineLevel="0" collapsed="false">
      <c r="A2" s="3" t="s">
        <v>751</v>
      </c>
    </row>
    <row r="3" customFormat="false" ht="16.5" hidden="false" customHeight="true" outlineLevel="0" collapsed="false">
      <c r="A3" s="38" t="s">
        <v>250</v>
      </c>
      <c r="C3" s="1" t="n">
        <f aca="false">전투카드!F5</f>
        <v>1</v>
      </c>
      <c r="D3" s="1" t="n">
        <f aca="false">전투카드!F6</f>
        <v>2</v>
      </c>
      <c r="E3" s="1" t="n">
        <f aca="false">전투카드!F7</f>
        <v>2</v>
      </c>
      <c r="F3" s="1" t="n">
        <f aca="false">전투카드!F8</f>
        <v>3</v>
      </c>
      <c r="G3" s="1" t="n">
        <f aca="false">전투카드!F9</f>
        <v>1</v>
      </c>
      <c r="H3" s="1" t="n">
        <f aca="false">전투카드!F10</f>
        <v>2</v>
      </c>
      <c r="I3" s="1" t="n">
        <f aca="false">전투카드!F11</f>
        <v>2</v>
      </c>
      <c r="J3" s="1" t="n">
        <f aca="false">전투카드!F12</f>
        <v>2</v>
      </c>
      <c r="K3" s="1" t="n">
        <f aca="false">전투카드!F13</f>
        <v>1</v>
      </c>
      <c r="L3" s="1" t="n">
        <f aca="false">전투카드!F14</f>
        <v>1</v>
      </c>
      <c r="M3" s="1" t="n">
        <f aca="false">전투카드!F15</f>
        <v>2</v>
      </c>
      <c r="N3" s="1" t="n">
        <f aca="false">전투카드!F16</f>
        <v>1</v>
      </c>
      <c r="O3" s="1" t="n">
        <f aca="false">전투카드!F17</f>
        <v>2</v>
      </c>
      <c r="P3" s="1" t="n">
        <f aca="false">전투카드!F18</f>
        <v>1</v>
      </c>
      <c r="Q3" s="1" t="n">
        <f aca="false">전투카드!F19</f>
        <v>1</v>
      </c>
      <c r="R3" s="1" t="n">
        <f aca="false">전투카드!F20</f>
        <v>1</v>
      </c>
    </row>
    <row r="4" customFormat="false" ht="32.25" hidden="false" customHeight="true" outlineLevel="0" collapsed="false">
      <c r="A4" s="4" t="s">
        <v>141</v>
      </c>
      <c r="B4" s="4" t="s">
        <v>752</v>
      </c>
      <c r="C4" s="4" t="s">
        <v>753</v>
      </c>
      <c r="D4" s="4" t="s">
        <v>754</v>
      </c>
      <c r="E4" s="4" t="s">
        <v>755</v>
      </c>
      <c r="F4" s="4" t="s">
        <v>756</v>
      </c>
      <c r="G4" s="4" t="s">
        <v>757</v>
      </c>
      <c r="H4" s="4" t="s">
        <v>758</v>
      </c>
      <c r="I4" s="4" t="s">
        <v>759</v>
      </c>
      <c r="J4" s="4" t="s">
        <v>760</v>
      </c>
      <c r="K4" s="4" t="s">
        <v>761</v>
      </c>
      <c r="L4" s="4" t="s">
        <v>762</v>
      </c>
      <c r="M4" s="4" t="s">
        <v>763</v>
      </c>
      <c r="N4" s="4" t="s">
        <v>764</v>
      </c>
      <c r="O4" s="4" t="s">
        <v>765</v>
      </c>
      <c r="P4" s="4" t="s">
        <v>766</v>
      </c>
      <c r="Q4" s="4" t="s">
        <v>767</v>
      </c>
      <c r="R4" s="4" t="s">
        <v>768</v>
      </c>
      <c r="S4" s="4" t="s">
        <v>609</v>
      </c>
      <c r="T4" s="4" t="s">
        <v>769</v>
      </c>
      <c r="U4" s="4" t="s">
        <v>770</v>
      </c>
      <c r="V4" s="4" t="s">
        <v>771</v>
      </c>
      <c r="W4" s="4" t="s">
        <v>772</v>
      </c>
      <c r="X4" s="4" t="s">
        <v>773</v>
      </c>
      <c r="Y4" s="4" t="s">
        <v>774</v>
      </c>
    </row>
    <row r="5" customFormat="false" ht="15" hidden="false" customHeight="true" outlineLevel="0" collapsed="false">
      <c r="A5" s="38" t="s">
        <v>160</v>
      </c>
      <c r="B5" s="38" t="s">
        <v>775</v>
      </c>
      <c r="C5" s="32" t="n">
        <v>2</v>
      </c>
      <c r="D5" s="32" t="n">
        <v>2</v>
      </c>
      <c r="E5" s="32" t="n">
        <v>2</v>
      </c>
      <c r="F5" s="32" t="n">
        <v>0</v>
      </c>
      <c r="G5" s="32" t="n">
        <v>1</v>
      </c>
      <c r="H5" s="32" t="n">
        <v>2</v>
      </c>
      <c r="I5" s="32" t="n">
        <v>0</v>
      </c>
      <c r="J5" s="32" t="n">
        <v>0</v>
      </c>
      <c r="K5" s="32" t="n">
        <v>0</v>
      </c>
      <c r="L5" s="32" t="n">
        <v>0</v>
      </c>
      <c r="M5" s="32" t="n">
        <v>0</v>
      </c>
      <c r="N5" s="32" t="n">
        <v>0</v>
      </c>
      <c r="O5" s="32" t="n">
        <v>0</v>
      </c>
      <c r="P5" s="32" t="n">
        <v>0</v>
      </c>
      <c r="Q5" s="32" t="n">
        <v>0</v>
      </c>
      <c r="R5" s="32" t="n">
        <v>1</v>
      </c>
      <c r="S5" s="1" t="n">
        <f aca="false">SUM(C5:R5)</f>
        <v>10</v>
      </c>
      <c r="T5" s="16" t="n">
        <f aca="false">SUMPRODUCT(C5:R5,C$3:R$3)/S5</f>
        <v>1.6</v>
      </c>
      <c r="U5" s="1" t="n">
        <f aca="false">SUM(C5:F5)</f>
        <v>6</v>
      </c>
      <c r="V5" s="1" t="n">
        <f aca="false">SUMPRODUCT((C$3:R$3=1)*(C5:R5))</f>
        <v>4</v>
      </c>
      <c r="W5" s="1" t="str">
        <f aca="false">IF(AND(S5=10,MAX(C5:R5)&lt;=2),"OK","NG")</f>
        <v>OK</v>
      </c>
      <c r="X5" s="1" t="n">
        <f aca="false">U5+COUNTIFS(전투카드!$E$5:$E$40,A5,전투카드!$C$5:$C$40,"공격")</f>
        <v>6</v>
      </c>
      <c r="Y5" s="1" t="str">
        <f aca="false">IF(B5="공세",IF(AND(X5&gt;=6,X5&lt;=7),"OK","NG"),IF(B5="균형",IF(AND(X5&gt;=4,X5&lt;=5),"OK","NG"),IF(AND(X5&gt;=2,X5&lt;=3),"OK","NG")))</f>
        <v>OK</v>
      </c>
    </row>
    <row r="6" customFormat="false" ht="15" hidden="false" customHeight="true" outlineLevel="0" collapsed="false">
      <c r="A6" s="38" t="s">
        <v>160</v>
      </c>
      <c r="B6" s="38" t="s">
        <v>776</v>
      </c>
      <c r="C6" s="32" t="n">
        <v>2</v>
      </c>
      <c r="D6" s="32" t="n">
        <v>2</v>
      </c>
      <c r="E6" s="32" t="n">
        <v>0</v>
      </c>
      <c r="F6" s="32" t="n">
        <v>0</v>
      </c>
      <c r="G6" s="32" t="n">
        <v>2</v>
      </c>
      <c r="H6" s="32" t="n">
        <v>1</v>
      </c>
      <c r="I6" s="32" t="n">
        <v>1</v>
      </c>
      <c r="J6" s="32" t="n">
        <v>0</v>
      </c>
      <c r="K6" s="32" t="n">
        <v>0</v>
      </c>
      <c r="L6" s="32" t="n">
        <v>1</v>
      </c>
      <c r="M6" s="32" t="n">
        <v>0</v>
      </c>
      <c r="N6" s="32" t="n">
        <v>0</v>
      </c>
      <c r="O6" s="32" t="n">
        <v>0</v>
      </c>
      <c r="P6" s="32" t="n">
        <v>0</v>
      </c>
      <c r="Q6" s="32" t="n">
        <v>1</v>
      </c>
      <c r="R6" s="32" t="n">
        <v>0</v>
      </c>
      <c r="S6" s="1" t="n">
        <f aca="false">SUM(C6:R6)</f>
        <v>10</v>
      </c>
      <c r="T6" s="16" t="n">
        <f aca="false">SUMPRODUCT(C6:R6,C$3:R$3)/S6</f>
        <v>1.4</v>
      </c>
      <c r="U6" s="1" t="n">
        <f aca="false">SUM(C6:F6)</f>
        <v>4</v>
      </c>
      <c r="V6" s="1" t="n">
        <f aca="false">SUMPRODUCT((C$3:R$3=1)*(C6:R6))</f>
        <v>6</v>
      </c>
      <c r="W6" s="1" t="str">
        <f aca="false">IF(AND(S6=10,MAX(C6:R6)&lt;=2),"OK","NG")</f>
        <v>OK</v>
      </c>
      <c r="X6" s="1" t="n">
        <f aca="false">U6+COUNTIFS(전투카드!$E$5:$E$40,A6,전투카드!$C$5:$C$40,"공격")</f>
        <v>4</v>
      </c>
      <c r="Y6" s="1" t="str">
        <f aca="false">IF(B6="공세",IF(AND(X6&gt;=6,X6&lt;=7),"OK","NG"),IF(B6="균형",IF(AND(X6&gt;=4,X6&lt;=5),"OK","NG"),IF(AND(X6&gt;=2,X6&lt;=3),"OK","NG")))</f>
        <v>OK</v>
      </c>
    </row>
    <row r="7" customFormat="false" ht="15" hidden="false" customHeight="true" outlineLevel="0" collapsed="false">
      <c r="A7" s="38" t="s">
        <v>160</v>
      </c>
      <c r="B7" s="38" t="s">
        <v>777</v>
      </c>
      <c r="C7" s="32" t="n">
        <v>2</v>
      </c>
      <c r="D7" s="32" t="n">
        <v>0</v>
      </c>
      <c r="E7" s="32" t="n">
        <v>0</v>
      </c>
      <c r="F7" s="32" t="n">
        <v>0</v>
      </c>
      <c r="G7" s="32" t="n">
        <v>2</v>
      </c>
      <c r="H7" s="32" t="n">
        <v>2</v>
      </c>
      <c r="I7" s="32" t="n">
        <v>1</v>
      </c>
      <c r="J7" s="32" t="n">
        <v>0</v>
      </c>
      <c r="K7" s="32" t="n">
        <v>0</v>
      </c>
      <c r="L7" s="32" t="n">
        <v>1</v>
      </c>
      <c r="M7" s="32" t="n">
        <v>1</v>
      </c>
      <c r="N7" s="32" t="n">
        <v>0</v>
      </c>
      <c r="O7" s="32" t="n">
        <v>0</v>
      </c>
      <c r="P7" s="32" t="n">
        <v>0</v>
      </c>
      <c r="Q7" s="32" t="n">
        <v>1</v>
      </c>
      <c r="R7" s="32" t="n">
        <v>0</v>
      </c>
      <c r="S7" s="1" t="n">
        <f aca="false">SUM(C7:R7)</f>
        <v>10</v>
      </c>
      <c r="T7" s="16" t="n">
        <f aca="false">SUMPRODUCT(C7:R7,C$3:R$3)/S7</f>
        <v>1.4</v>
      </c>
      <c r="U7" s="1" t="n">
        <f aca="false">SUM(C7:F7)</f>
        <v>2</v>
      </c>
      <c r="V7" s="1" t="n">
        <f aca="false">SUMPRODUCT((C$3:R$3=1)*(C7:R7))</f>
        <v>6</v>
      </c>
      <c r="W7" s="1" t="str">
        <f aca="false">IF(AND(S7=10,MAX(C7:R7)&lt;=2),"OK","NG")</f>
        <v>OK</v>
      </c>
      <c r="X7" s="1" t="n">
        <f aca="false">U7+COUNTIFS(전투카드!$E$5:$E$40,A7,전투카드!$C$5:$C$40,"공격")</f>
        <v>2</v>
      </c>
      <c r="Y7" s="1" t="str">
        <f aca="false">IF(B7="공세",IF(AND(X7&gt;=6,X7&lt;=7),"OK","NG"),IF(B7="균형",IF(AND(X7&gt;=4,X7&lt;=5),"OK","NG"),IF(AND(X7&gt;=2,X7&lt;=3),"OK","NG")))</f>
        <v>OK</v>
      </c>
    </row>
    <row r="8" customFormat="false" ht="15" hidden="false" customHeight="true" outlineLevel="0" collapsed="false">
      <c r="A8" s="38" t="s">
        <v>171</v>
      </c>
      <c r="B8" s="38" t="s">
        <v>775</v>
      </c>
      <c r="C8" s="32" t="n">
        <v>2</v>
      </c>
      <c r="D8" s="32" t="n">
        <v>2</v>
      </c>
      <c r="E8" s="32" t="n">
        <v>1</v>
      </c>
      <c r="F8" s="32" t="n">
        <v>0</v>
      </c>
      <c r="G8" s="32" t="n">
        <v>0</v>
      </c>
      <c r="H8" s="32" t="n">
        <v>0</v>
      </c>
      <c r="I8" s="32" t="n">
        <v>0</v>
      </c>
      <c r="J8" s="32" t="n">
        <v>0</v>
      </c>
      <c r="K8" s="32" t="n">
        <v>0</v>
      </c>
      <c r="L8" s="32" t="n">
        <v>0</v>
      </c>
      <c r="M8" s="32" t="n">
        <v>0</v>
      </c>
      <c r="N8" s="32" t="n">
        <v>0</v>
      </c>
      <c r="O8" s="32" t="n">
        <v>1</v>
      </c>
      <c r="P8" s="32" t="n">
        <v>1</v>
      </c>
      <c r="Q8" s="32" t="n">
        <v>1</v>
      </c>
      <c r="R8" s="32" t="n">
        <v>2</v>
      </c>
      <c r="S8" s="1" t="n">
        <f aca="false">SUM(C8:R8)</f>
        <v>10</v>
      </c>
      <c r="T8" s="16" t="n">
        <f aca="false">SUMPRODUCT(C8:R8,C$3:R$3)/S8</f>
        <v>1.4</v>
      </c>
      <c r="U8" s="1" t="n">
        <f aca="false">SUM(C8:F8)</f>
        <v>5</v>
      </c>
      <c r="V8" s="1" t="n">
        <f aca="false">SUMPRODUCT((C$3:R$3=1)*(C8:R8))</f>
        <v>6</v>
      </c>
      <c r="W8" s="1" t="str">
        <f aca="false">IF(AND(S8=10,MAX(C8:R8)&lt;=2),"OK","NG")</f>
        <v>OK</v>
      </c>
      <c r="X8" s="1" t="n">
        <f aca="false">U8+COUNTIFS(전투카드!$E$5:$E$40,A8,전투카드!$C$5:$C$40,"공격")</f>
        <v>6</v>
      </c>
      <c r="Y8" s="1" t="str">
        <f aca="false">IF(B8="공세",IF(AND(X8&gt;=6,X8&lt;=7),"OK","NG"),IF(B8="균형",IF(AND(X8&gt;=4,X8&lt;=5),"OK","NG"),IF(AND(X8&gt;=2,X8&lt;=3),"OK","NG")))</f>
        <v>OK</v>
      </c>
    </row>
    <row r="9" customFormat="false" ht="15" hidden="false" customHeight="true" outlineLevel="0" collapsed="false">
      <c r="A9" s="38" t="s">
        <v>171</v>
      </c>
      <c r="B9" s="38" t="s">
        <v>776</v>
      </c>
      <c r="C9" s="32" t="n">
        <v>1</v>
      </c>
      <c r="D9" s="32" t="n">
        <v>2</v>
      </c>
      <c r="E9" s="32" t="n">
        <v>0</v>
      </c>
      <c r="F9" s="32" t="n">
        <v>1</v>
      </c>
      <c r="G9" s="32" t="n">
        <v>1</v>
      </c>
      <c r="H9" s="32" t="n">
        <v>0</v>
      </c>
      <c r="I9" s="32" t="n">
        <v>1</v>
      </c>
      <c r="J9" s="32" t="n">
        <v>0</v>
      </c>
      <c r="K9" s="32" t="n">
        <v>0</v>
      </c>
      <c r="L9" s="32" t="n">
        <v>0</v>
      </c>
      <c r="M9" s="32" t="n">
        <v>0</v>
      </c>
      <c r="N9" s="32" t="n">
        <v>0</v>
      </c>
      <c r="O9" s="32" t="n">
        <v>2</v>
      </c>
      <c r="P9" s="32" t="n">
        <v>0</v>
      </c>
      <c r="Q9" s="32" t="n">
        <v>1</v>
      </c>
      <c r="R9" s="32" t="n">
        <v>1</v>
      </c>
      <c r="S9" s="1" t="n">
        <f aca="false">SUM(C9:R9)</f>
        <v>10</v>
      </c>
      <c r="T9" s="16" t="n">
        <f aca="false">SUMPRODUCT(C9:R9,C$3:R$3)/S9</f>
        <v>1.7</v>
      </c>
      <c r="U9" s="1" t="n">
        <f aca="false">SUM(C9:F9)</f>
        <v>4</v>
      </c>
      <c r="V9" s="1" t="n">
        <f aca="false">SUMPRODUCT((C$3:R$3=1)*(C9:R9))</f>
        <v>4</v>
      </c>
      <c r="W9" s="1" t="str">
        <f aca="false">IF(AND(S9=10,MAX(C9:R9)&lt;=2),"OK","NG")</f>
        <v>OK</v>
      </c>
      <c r="X9" s="1" t="n">
        <f aca="false">U9+COUNTIFS(전투카드!$E$5:$E$40,A9,전투카드!$C$5:$C$40,"공격")</f>
        <v>5</v>
      </c>
      <c r="Y9" s="1" t="str">
        <f aca="false">IF(B9="공세",IF(AND(X9&gt;=6,X9&lt;=7),"OK","NG"),IF(B9="균형",IF(AND(X9&gt;=4,X9&lt;=5),"OK","NG"),IF(AND(X9&gt;=2,X9&lt;=3),"OK","NG")))</f>
        <v>OK</v>
      </c>
    </row>
    <row r="10" customFormat="false" ht="15" hidden="false" customHeight="true" outlineLevel="0" collapsed="false">
      <c r="A10" s="38" t="s">
        <v>171</v>
      </c>
      <c r="B10" s="38" t="s">
        <v>777</v>
      </c>
      <c r="C10" s="32" t="n">
        <v>1</v>
      </c>
      <c r="D10" s="32" t="n">
        <v>1</v>
      </c>
      <c r="E10" s="32" t="n">
        <v>0</v>
      </c>
      <c r="F10" s="32" t="n">
        <v>0</v>
      </c>
      <c r="G10" s="32" t="n">
        <v>2</v>
      </c>
      <c r="H10" s="32" t="n">
        <v>1</v>
      </c>
      <c r="I10" s="32" t="n">
        <v>1</v>
      </c>
      <c r="J10" s="32" t="n">
        <v>0</v>
      </c>
      <c r="K10" s="32" t="n">
        <v>0</v>
      </c>
      <c r="L10" s="32" t="n">
        <v>0</v>
      </c>
      <c r="M10" s="32" t="n">
        <v>1</v>
      </c>
      <c r="N10" s="32" t="n">
        <v>0</v>
      </c>
      <c r="O10" s="32" t="n">
        <v>2</v>
      </c>
      <c r="P10" s="32" t="n">
        <v>0</v>
      </c>
      <c r="Q10" s="32" t="n">
        <v>1</v>
      </c>
      <c r="R10" s="32" t="n">
        <v>0</v>
      </c>
      <c r="S10" s="1" t="n">
        <f aca="false">SUM(C10:R10)</f>
        <v>10</v>
      </c>
      <c r="T10" s="16" t="n">
        <f aca="false">SUMPRODUCT(C10:R10,C$3:R$3)/S10</f>
        <v>1.6</v>
      </c>
      <c r="U10" s="1" t="n">
        <f aca="false">SUM(C10:F10)</f>
        <v>2</v>
      </c>
      <c r="V10" s="1" t="n">
        <f aca="false">SUMPRODUCT((C$3:R$3=1)*(C10:R10))</f>
        <v>4</v>
      </c>
      <c r="W10" s="1" t="str">
        <f aca="false">IF(AND(S10=10,MAX(C10:R10)&lt;=2),"OK","NG")</f>
        <v>OK</v>
      </c>
      <c r="X10" s="1" t="n">
        <f aca="false">U10+COUNTIFS(전투카드!$E$5:$E$40,A10,전투카드!$C$5:$C$40,"공격")</f>
        <v>3</v>
      </c>
      <c r="Y10" s="1" t="str">
        <f aca="false">IF(B10="공세",IF(AND(X10&gt;=6,X10&lt;=7),"OK","NG"),IF(B10="균형",IF(AND(X10&gt;=4,X10&lt;=5),"OK","NG"),IF(AND(X10&gt;=2,X10&lt;=3),"OK","NG")))</f>
        <v>OK</v>
      </c>
    </row>
    <row r="11" customFormat="false" ht="15" hidden="false" customHeight="true" outlineLevel="0" collapsed="false">
      <c r="A11" s="38" t="s">
        <v>180</v>
      </c>
      <c r="B11" s="38" t="s">
        <v>775</v>
      </c>
      <c r="C11" s="32" t="n">
        <v>2</v>
      </c>
      <c r="D11" s="32" t="n">
        <v>1</v>
      </c>
      <c r="E11" s="32" t="n">
        <v>2</v>
      </c>
      <c r="F11" s="32" t="n">
        <v>0</v>
      </c>
      <c r="G11" s="32" t="n">
        <v>0</v>
      </c>
      <c r="H11" s="32" t="n">
        <v>0</v>
      </c>
      <c r="I11" s="32" t="n">
        <v>0</v>
      </c>
      <c r="J11" s="32" t="n">
        <v>0</v>
      </c>
      <c r="K11" s="32" t="n">
        <v>0</v>
      </c>
      <c r="L11" s="32" t="n">
        <v>1</v>
      </c>
      <c r="M11" s="32" t="n">
        <v>0</v>
      </c>
      <c r="N11" s="32" t="n">
        <v>1</v>
      </c>
      <c r="O11" s="32" t="n">
        <v>0</v>
      </c>
      <c r="P11" s="32" t="n">
        <v>1</v>
      </c>
      <c r="Q11" s="32" t="n">
        <v>1</v>
      </c>
      <c r="R11" s="32" t="n">
        <v>1</v>
      </c>
      <c r="S11" s="1" t="n">
        <f aca="false">SUM(C11:R11)</f>
        <v>10</v>
      </c>
      <c r="T11" s="16" t="n">
        <f aca="false">SUMPRODUCT(C11:R11,C$3:R$3)/S11</f>
        <v>1.3</v>
      </c>
      <c r="U11" s="1" t="n">
        <f aca="false">SUM(C11:F11)</f>
        <v>5</v>
      </c>
      <c r="V11" s="1" t="n">
        <f aca="false">SUMPRODUCT((C$3:R$3=1)*(C11:R11))</f>
        <v>7</v>
      </c>
      <c r="W11" s="1" t="str">
        <f aca="false">IF(AND(S11=10,MAX(C11:R11)&lt;=2),"OK","NG")</f>
        <v>OK</v>
      </c>
      <c r="X11" s="1" t="n">
        <f aca="false">U11+COUNTIFS(전투카드!$E$5:$E$40,A11,전투카드!$C$5:$C$40,"공격")</f>
        <v>6</v>
      </c>
      <c r="Y11" s="1" t="str">
        <f aca="false">IF(B11="공세",IF(AND(X11&gt;=6,X11&lt;=7),"OK","NG"),IF(B11="균형",IF(AND(X11&gt;=4,X11&lt;=5),"OK","NG"),IF(AND(X11&gt;=2,X11&lt;=3),"OK","NG")))</f>
        <v>OK</v>
      </c>
    </row>
    <row r="12" customFormat="false" ht="15" hidden="false" customHeight="true" outlineLevel="0" collapsed="false">
      <c r="A12" s="38" t="s">
        <v>180</v>
      </c>
      <c r="B12" s="38" t="s">
        <v>776</v>
      </c>
      <c r="C12" s="32" t="n">
        <v>1</v>
      </c>
      <c r="D12" s="32" t="n">
        <v>1</v>
      </c>
      <c r="E12" s="32" t="n">
        <v>1</v>
      </c>
      <c r="F12" s="32" t="n">
        <v>0</v>
      </c>
      <c r="G12" s="32" t="n">
        <v>1</v>
      </c>
      <c r="H12" s="32" t="n">
        <v>0</v>
      </c>
      <c r="I12" s="32" t="n">
        <v>1</v>
      </c>
      <c r="J12" s="32" t="n">
        <v>0</v>
      </c>
      <c r="K12" s="32" t="n">
        <v>0</v>
      </c>
      <c r="L12" s="32" t="n">
        <v>1</v>
      </c>
      <c r="M12" s="32" t="n">
        <v>0</v>
      </c>
      <c r="N12" s="32" t="n">
        <v>1</v>
      </c>
      <c r="O12" s="32" t="n">
        <v>1</v>
      </c>
      <c r="P12" s="32" t="n">
        <v>1</v>
      </c>
      <c r="Q12" s="32" t="n">
        <v>1</v>
      </c>
      <c r="R12" s="32" t="n">
        <v>0</v>
      </c>
      <c r="S12" s="1" t="n">
        <f aca="false">SUM(C12:R12)</f>
        <v>10</v>
      </c>
      <c r="T12" s="16" t="n">
        <f aca="false">SUMPRODUCT(C12:R12,C$3:R$3)/S12</f>
        <v>1.4</v>
      </c>
      <c r="U12" s="1" t="n">
        <f aca="false">SUM(C12:F12)</f>
        <v>3</v>
      </c>
      <c r="V12" s="1" t="n">
        <f aca="false">SUMPRODUCT((C$3:R$3=1)*(C12:R12))</f>
        <v>6</v>
      </c>
      <c r="W12" s="1" t="str">
        <f aca="false">IF(AND(S12=10,MAX(C12:R12)&lt;=2),"OK","NG")</f>
        <v>OK</v>
      </c>
      <c r="X12" s="1" t="n">
        <f aca="false">U12+COUNTIFS(전투카드!$E$5:$E$40,A12,전투카드!$C$5:$C$40,"공격")</f>
        <v>4</v>
      </c>
      <c r="Y12" s="1" t="str">
        <f aca="false">IF(B12="공세",IF(AND(X12&gt;=6,X12&lt;=7),"OK","NG"),IF(B12="균형",IF(AND(X12&gt;=4,X12&lt;=5),"OK","NG"),IF(AND(X12&gt;=2,X12&lt;=3),"OK","NG")))</f>
        <v>OK</v>
      </c>
    </row>
    <row r="13" customFormat="false" ht="15" hidden="false" customHeight="true" outlineLevel="0" collapsed="false">
      <c r="A13" s="38" t="s">
        <v>180</v>
      </c>
      <c r="B13" s="38" t="s">
        <v>777</v>
      </c>
      <c r="C13" s="32" t="n">
        <v>0</v>
      </c>
      <c r="D13" s="32" t="n">
        <v>0</v>
      </c>
      <c r="E13" s="32" t="n">
        <v>1</v>
      </c>
      <c r="F13" s="32" t="n">
        <v>0</v>
      </c>
      <c r="G13" s="32" t="n">
        <v>2</v>
      </c>
      <c r="H13" s="32" t="n">
        <v>1</v>
      </c>
      <c r="I13" s="32" t="n">
        <v>1</v>
      </c>
      <c r="J13" s="32" t="n">
        <v>0</v>
      </c>
      <c r="K13" s="32" t="n">
        <v>0</v>
      </c>
      <c r="L13" s="32" t="n">
        <v>2</v>
      </c>
      <c r="M13" s="32" t="n">
        <v>1</v>
      </c>
      <c r="N13" s="32" t="n">
        <v>0</v>
      </c>
      <c r="O13" s="32" t="n">
        <v>1</v>
      </c>
      <c r="P13" s="32" t="n">
        <v>0</v>
      </c>
      <c r="Q13" s="32" t="n">
        <v>1</v>
      </c>
      <c r="R13" s="32" t="n">
        <v>0</v>
      </c>
      <c r="S13" s="1" t="n">
        <f aca="false">SUM(C13:R13)</f>
        <v>10</v>
      </c>
      <c r="T13" s="16" t="n">
        <f aca="false">SUMPRODUCT(C13:R13,C$3:R$3)/S13</f>
        <v>1.5</v>
      </c>
      <c r="U13" s="1" t="n">
        <f aca="false">SUM(C13:F13)</f>
        <v>1</v>
      </c>
      <c r="V13" s="1" t="n">
        <f aca="false">SUMPRODUCT((C$3:R$3=1)*(C13:R13))</f>
        <v>5</v>
      </c>
      <c r="W13" s="1" t="str">
        <f aca="false">IF(AND(S13=10,MAX(C13:R13)&lt;=2),"OK","NG")</f>
        <v>OK</v>
      </c>
      <c r="X13" s="1" t="n">
        <f aca="false">U13+COUNTIFS(전투카드!$E$5:$E$40,A13,전투카드!$C$5:$C$40,"공격")</f>
        <v>2</v>
      </c>
      <c r="Y13" s="1" t="str">
        <f aca="false">IF(B13="공세",IF(AND(X13&gt;=6,X13&lt;=7),"OK","NG"),IF(B13="균형",IF(AND(X13&gt;=4,X13&lt;=5),"OK","NG"),IF(AND(X13&gt;=2,X13&lt;=3),"OK","NG")))</f>
        <v>OK</v>
      </c>
    </row>
    <row r="14" customFormat="false" ht="15" hidden="false" customHeight="true" outlineLevel="0" collapsed="false">
      <c r="A14" s="38" t="s">
        <v>189</v>
      </c>
      <c r="B14" s="38" t="s">
        <v>775</v>
      </c>
      <c r="C14" s="32" t="n">
        <v>2</v>
      </c>
      <c r="D14" s="32" t="n">
        <v>2</v>
      </c>
      <c r="E14" s="32" t="n">
        <v>1</v>
      </c>
      <c r="F14" s="32" t="n">
        <v>0</v>
      </c>
      <c r="G14" s="32" t="n">
        <v>1</v>
      </c>
      <c r="H14" s="32" t="n">
        <v>0</v>
      </c>
      <c r="I14" s="32" t="n">
        <v>0</v>
      </c>
      <c r="J14" s="32" t="n">
        <v>0</v>
      </c>
      <c r="K14" s="32" t="n">
        <v>0</v>
      </c>
      <c r="L14" s="32" t="n">
        <v>0</v>
      </c>
      <c r="M14" s="32" t="n">
        <v>0</v>
      </c>
      <c r="N14" s="32" t="n">
        <v>0</v>
      </c>
      <c r="O14" s="32" t="n">
        <v>0</v>
      </c>
      <c r="P14" s="32" t="n">
        <v>1</v>
      </c>
      <c r="Q14" s="32" t="n">
        <v>1</v>
      </c>
      <c r="R14" s="32" t="n">
        <v>2</v>
      </c>
      <c r="S14" s="1" t="n">
        <f aca="false">SUM(C14:R14)</f>
        <v>10</v>
      </c>
      <c r="T14" s="16" t="n">
        <f aca="false">SUMPRODUCT(C14:R14,C$3:R$3)/S14</f>
        <v>1.3</v>
      </c>
      <c r="U14" s="1" t="n">
        <f aca="false">SUM(C14:F14)</f>
        <v>5</v>
      </c>
      <c r="V14" s="1" t="n">
        <f aca="false">SUMPRODUCT((C$3:R$3=1)*(C14:R14))</f>
        <v>7</v>
      </c>
      <c r="W14" s="1" t="str">
        <f aca="false">IF(AND(S14=10,MAX(C14:R14)&lt;=2),"OK","NG")</f>
        <v>OK</v>
      </c>
      <c r="X14" s="1" t="n">
        <f aca="false">U14+COUNTIFS(전투카드!$E$5:$E$40,A14,전투카드!$C$5:$C$40,"공격")</f>
        <v>6</v>
      </c>
      <c r="Y14" s="1" t="str">
        <f aca="false">IF(B14="공세",IF(AND(X14&gt;=6,X14&lt;=7),"OK","NG"),IF(B14="균형",IF(AND(X14&gt;=4,X14&lt;=5),"OK","NG"),IF(AND(X14&gt;=2,X14&lt;=3),"OK","NG")))</f>
        <v>OK</v>
      </c>
    </row>
    <row r="15" customFormat="false" ht="15" hidden="false" customHeight="true" outlineLevel="0" collapsed="false">
      <c r="A15" s="38" t="s">
        <v>189</v>
      </c>
      <c r="B15" s="38" t="s">
        <v>776</v>
      </c>
      <c r="C15" s="32" t="n">
        <v>2</v>
      </c>
      <c r="D15" s="32" t="n">
        <v>1</v>
      </c>
      <c r="E15" s="32" t="n">
        <v>0</v>
      </c>
      <c r="F15" s="32" t="n">
        <v>0</v>
      </c>
      <c r="G15" s="32" t="n">
        <v>2</v>
      </c>
      <c r="H15" s="32" t="n">
        <v>0</v>
      </c>
      <c r="I15" s="32" t="n">
        <v>1</v>
      </c>
      <c r="J15" s="32" t="n">
        <v>0</v>
      </c>
      <c r="K15" s="32" t="n">
        <v>0</v>
      </c>
      <c r="L15" s="32" t="n">
        <v>1</v>
      </c>
      <c r="M15" s="32" t="n">
        <v>0</v>
      </c>
      <c r="N15" s="32" t="n">
        <v>0</v>
      </c>
      <c r="O15" s="32" t="n">
        <v>1</v>
      </c>
      <c r="P15" s="32" t="n">
        <v>1</v>
      </c>
      <c r="Q15" s="32" t="n">
        <v>1</v>
      </c>
      <c r="R15" s="32" t="n">
        <v>0</v>
      </c>
      <c r="S15" s="1" t="n">
        <f aca="false">SUM(C15:R15)</f>
        <v>10</v>
      </c>
      <c r="T15" s="16" t="n">
        <f aca="false">SUMPRODUCT(C15:R15,C$3:R$3)/S15</f>
        <v>1.3</v>
      </c>
      <c r="U15" s="1" t="n">
        <f aca="false">SUM(C15:F15)</f>
        <v>3</v>
      </c>
      <c r="V15" s="1" t="n">
        <f aca="false">SUMPRODUCT((C$3:R$3=1)*(C15:R15))</f>
        <v>7</v>
      </c>
      <c r="W15" s="1" t="str">
        <f aca="false">IF(AND(S15=10,MAX(C15:R15)&lt;=2),"OK","NG")</f>
        <v>OK</v>
      </c>
      <c r="X15" s="1" t="n">
        <f aca="false">U15+COUNTIFS(전투카드!$E$5:$E$40,A15,전투카드!$C$5:$C$40,"공격")</f>
        <v>4</v>
      </c>
      <c r="Y15" s="1" t="str">
        <f aca="false">IF(B15="공세",IF(AND(X15&gt;=6,X15&lt;=7),"OK","NG"),IF(B15="균형",IF(AND(X15&gt;=4,X15&lt;=5),"OK","NG"),IF(AND(X15&gt;=2,X15&lt;=3),"OK","NG")))</f>
        <v>OK</v>
      </c>
    </row>
    <row r="16" customFormat="false" ht="15" hidden="false" customHeight="true" outlineLevel="0" collapsed="false">
      <c r="A16" s="38" t="s">
        <v>189</v>
      </c>
      <c r="B16" s="38" t="s">
        <v>777</v>
      </c>
      <c r="C16" s="32" t="n">
        <v>1</v>
      </c>
      <c r="D16" s="32" t="n">
        <v>0</v>
      </c>
      <c r="E16" s="32" t="n">
        <v>0</v>
      </c>
      <c r="F16" s="32" t="n">
        <v>0</v>
      </c>
      <c r="G16" s="32" t="n">
        <v>2</v>
      </c>
      <c r="H16" s="32" t="n">
        <v>2</v>
      </c>
      <c r="I16" s="32" t="n">
        <v>1</v>
      </c>
      <c r="J16" s="32" t="n">
        <v>0</v>
      </c>
      <c r="K16" s="32" t="n">
        <v>0</v>
      </c>
      <c r="L16" s="32" t="n">
        <v>1</v>
      </c>
      <c r="M16" s="32" t="n">
        <v>1</v>
      </c>
      <c r="N16" s="32" t="n">
        <v>0</v>
      </c>
      <c r="O16" s="32" t="n">
        <v>1</v>
      </c>
      <c r="P16" s="32" t="n">
        <v>0</v>
      </c>
      <c r="Q16" s="32" t="n">
        <v>1</v>
      </c>
      <c r="R16" s="32" t="n">
        <v>0</v>
      </c>
      <c r="S16" s="1" t="n">
        <f aca="false">SUM(C16:R16)</f>
        <v>10</v>
      </c>
      <c r="T16" s="16" t="n">
        <f aca="false">SUMPRODUCT(C16:R16,C$3:R$3)/S16</f>
        <v>1.5</v>
      </c>
      <c r="U16" s="1" t="n">
        <f aca="false">SUM(C16:F16)</f>
        <v>1</v>
      </c>
      <c r="V16" s="1" t="n">
        <f aca="false">SUMPRODUCT((C$3:R$3=1)*(C16:R16))</f>
        <v>5</v>
      </c>
      <c r="W16" s="1" t="str">
        <f aca="false">IF(AND(S16=10,MAX(C16:R16)&lt;=2),"OK","NG")</f>
        <v>OK</v>
      </c>
      <c r="X16" s="1" t="n">
        <f aca="false">U16+COUNTIFS(전투카드!$E$5:$E$40,A16,전투카드!$C$5:$C$40,"공격")</f>
        <v>2</v>
      </c>
      <c r="Y16" s="1" t="str">
        <f aca="false">IF(B16="공세",IF(AND(X16&gt;=6,X16&lt;=7),"OK","NG"),IF(B16="균형",IF(AND(X16&gt;=4,X16&lt;=5),"OK","NG"),IF(AND(X16&gt;=2,X16&lt;=3),"OK","NG")))</f>
        <v>OK</v>
      </c>
    </row>
    <row r="17" customFormat="false" ht="15" hidden="false" customHeight="true" outlineLevel="0" collapsed="false">
      <c r="A17" s="38" t="s">
        <v>198</v>
      </c>
      <c r="B17" s="38" t="s">
        <v>775</v>
      </c>
      <c r="C17" s="32" t="n">
        <v>2</v>
      </c>
      <c r="D17" s="32" t="n">
        <v>2</v>
      </c>
      <c r="E17" s="32" t="n">
        <v>1</v>
      </c>
      <c r="F17" s="32" t="n">
        <v>0</v>
      </c>
      <c r="G17" s="32" t="n">
        <v>0</v>
      </c>
      <c r="H17" s="32" t="n">
        <v>0</v>
      </c>
      <c r="I17" s="32" t="n">
        <v>0</v>
      </c>
      <c r="J17" s="32" t="n">
        <v>0</v>
      </c>
      <c r="K17" s="32" t="n">
        <v>0</v>
      </c>
      <c r="L17" s="32" t="n">
        <v>0</v>
      </c>
      <c r="M17" s="32" t="n">
        <v>0</v>
      </c>
      <c r="N17" s="32" t="n">
        <v>1</v>
      </c>
      <c r="O17" s="32" t="n">
        <v>0</v>
      </c>
      <c r="P17" s="32" t="n">
        <v>0</v>
      </c>
      <c r="Q17" s="32" t="n">
        <v>2</v>
      </c>
      <c r="R17" s="32" t="n">
        <v>2</v>
      </c>
      <c r="S17" s="1" t="n">
        <f aca="false">SUM(C17:R17)</f>
        <v>10</v>
      </c>
      <c r="T17" s="16" t="n">
        <f aca="false">SUMPRODUCT(C17:R17,C$3:R$3)/S17</f>
        <v>1.3</v>
      </c>
      <c r="U17" s="1" t="n">
        <f aca="false">SUM(C17:F17)</f>
        <v>5</v>
      </c>
      <c r="V17" s="1" t="n">
        <f aca="false">SUMPRODUCT((C$3:R$3=1)*(C17:R17))</f>
        <v>7</v>
      </c>
      <c r="W17" s="1" t="str">
        <f aca="false">IF(AND(S17=10,MAX(C17:R17)&lt;=2),"OK","NG")</f>
        <v>OK</v>
      </c>
      <c r="X17" s="1" t="n">
        <f aca="false">U17+COUNTIFS(전투카드!$E$5:$E$40,A17,전투카드!$C$5:$C$40,"공격")</f>
        <v>6</v>
      </c>
      <c r="Y17" s="1" t="str">
        <f aca="false">IF(B17="공세",IF(AND(X17&gt;=6,X17&lt;=7),"OK","NG"),IF(B17="균형",IF(AND(X17&gt;=4,X17&lt;=5),"OK","NG"),IF(AND(X17&gt;=2,X17&lt;=3),"OK","NG")))</f>
        <v>OK</v>
      </c>
    </row>
    <row r="18" customFormat="false" ht="15" hidden="false" customHeight="true" outlineLevel="0" collapsed="false">
      <c r="A18" s="38" t="s">
        <v>198</v>
      </c>
      <c r="B18" s="38" t="s">
        <v>776</v>
      </c>
      <c r="C18" s="32" t="n">
        <v>2</v>
      </c>
      <c r="D18" s="32" t="n">
        <v>1</v>
      </c>
      <c r="E18" s="32" t="n">
        <v>0</v>
      </c>
      <c r="F18" s="32" t="n">
        <v>0</v>
      </c>
      <c r="G18" s="32" t="n">
        <v>1</v>
      </c>
      <c r="H18" s="32" t="n">
        <v>0</v>
      </c>
      <c r="I18" s="32" t="n">
        <v>1</v>
      </c>
      <c r="J18" s="32" t="n">
        <v>0</v>
      </c>
      <c r="K18" s="32" t="n">
        <v>0</v>
      </c>
      <c r="L18" s="32" t="n">
        <v>1</v>
      </c>
      <c r="M18" s="32" t="n">
        <v>0</v>
      </c>
      <c r="N18" s="32" t="n">
        <v>1</v>
      </c>
      <c r="O18" s="32" t="n">
        <v>0</v>
      </c>
      <c r="P18" s="32" t="n">
        <v>1</v>
      </c>
      <c r="Q18" s="32" t="n">
        <v>2</v>
      </c>
      <c r="R18" s="32" t="n">
        <v>0</v>
      </c>
      <c r="S18" s="1" t="n">
        <f aca="false">SUM(C18:R18)</f>
        <v>10</v>
      </c>
      <c r="T18" s="16" t="n">
        <f aca="false">SUMPRODUCT(C18:R18,C$3:R$3)/S18</f>
        <v>1.2</v>
      </c>
      <c r="U18" s="1" t="n">
        <f aca="false">SUM(C18:F18)</f>
        <v>3</v>
      </c>
      <c r="V18" s="1" t="n">
        <f aca="false">SUMPRODUCT((C$3:R$3=1)*(C18:R18))</f>
        <v>8</v>
      </c>
      <c r="W18" s="1" t="str">
        <f aca="false">IF(AND(S18=10,MAX(C18:R18)&lt;=2),"OK","NG")</f>
        <v>OK</v>
      </c>
      <c r="X18" s="1" t="n">
        <f aca="false">U18+COUNTIFS(전투카드!$E$5:$E$40,A18,전투카드!$C$5:$C$40,"공격")</f>
        <v>4</v>
      </c>
      <c r="Y18" s="1" t="str">
        <f aca="false">IF(B18="공세",IF(AND(X18&gt;=6,X18&lt;=7),"OK","NG"),IF(B18="균형",IF(AND(X18&gt;=4,X18&lt;=5),"OK","NG"),IF(AND(X18&gt;=2,X18&lt;=3),"OK","NG")))</f>
        <v>OK</v>
      </c>
    </row>
    <row r="19" customFormat="false" ht="15" hidden="false" customHeight="true" outlineLevel="0" collapsed="false">
      <c r="A19" s="38" t="s">
        <v>198</v>
      </c>
      <c r="B19" s="38" t="s">
        <v>777</v>
      </c>
      <c r="C19" s="32" t="n">
        <v>1</v>
      </c>
      <c r="D19" s="32" t="n">
        <v>0</v>
      </c>
      <c r="E19" s="32" t="n">
        <v>0</v>
      </c>
      <c r="F19" s="32" t="n">
        <v>0</v>
      </c>
      <c r="G19" s="32" t="n">
        <v>2</v>
      </c>
      <c r="H19" s="32" t="n">
        <v>0</v>
      </c>
      <c r="I19" s="32" t="n">
        <v>1</v>
      </c>
      <c r="J19" s="32" t="n">
        <v>0</v>
      </c>
      <c r="K19" s="32" t="n">
        <v>0</v>
      </c>
      <c r="L19" s="32" t="n">
        <v>2</v>
      </c>
      <c r="M19" s="32" t="n">
        <v>1</v>
      </c>
      <c r="N19" s="32" t="n">
        <v>0</v>
      </c>
      <c r="O19" s="32" t="n">
        <v>1</v>
      </c>
      <c r="P19" s="32" t="n">
        <v>0</v>
      </c>
      <c r="Q19" s="32" t="n">
        <v>2</v>
      </c>
      <c r="R19" s="32" t="n">
        <v>0</v>
      </c>
      <c r="S19" s="1" t="n">
        <f aca="false">SUM(C19:R19)</f>
        <v>10</v>
      </c>
      <c r="T19" s="16" t="n">
        <f aca="false">SUMPRODUCT(C19:R19,C$3:R$3)/S19</f>
        <v>1.3</v>
      </c>
      <c r="U19" s="1" t="n">
        <f aca="false">SUM(C19:F19)</f>
        <v>1</v>
      </c>
      <c r="V19" s="1" t="n">
        <f aca="false">SUMPRODUCT((C$3:R$3=1)*(C19:R19))</f>
        <v>7</v>
      </c>
      <c r="W19" s="1" t="str">
        <f aca="false">IF(AND(S19=10,MAX(C19:R19)&lt;=2),"OK","NG")</f>
        <v>OK</v>
      </c>
      <c r="X19" s="1" t="n">
        <f aca="false">U19+COUNTIFS(전투카드!$E$5:$E$40,A19,전투카드!$C$5:$C$40,"공격")</f>
        <v>2</v>
      </c>
      <c r="Y19" s="1" t="str">
        <f aca="false">IF(B19="공세",IF(AND(X19&gt;=6,X19&lt;=7),"OK","NG"),IF(B19="균형",IF(AND(X19&gt;=4,X19&lt;=5),"OK","NG"),IF(AND(X19&gt;=2,X19&lt;=3),"OK","NG")))</f>
        <v>OK</v>
      </c>
    </row>
    <row r="20" customFormat="false" ht="15" hidden="false" customHeight="true" outlineLevel="0" collapsed="false">
      <c r="A20" s="38" t="s">
        <v>207</v>
      </c>
      <c r="B20" s="38" t="s">
        <v>775</v>
      </c>
      <c r="C20" s="32" t="n">
        <v>2</v>
      </c>
      <c r="D20" s="32" t="n">
        <v>2</v>
      </c>
      <c r="E20" s="32" t="n">
        <v>1</v>
      </c>
      <c r="F20" s="32" t="n">
        <v>1</v>
      </c>
      <c r="G20" s="32" t="n">
        <v>0</v>
      </c>
      <c r="H20" s="32" t="n">
        <v>0</v>
      </c>
      <c r="I20" s="32" t="n">
        <v>0</v>
      </c>
      <c r="J20" s="32" t="n">
        <v>0</v>
      </c>
      <c r="K20" s="32" t="n">
        <v>0</v>
      </c>
      <c r="L20" s="32" t="n">
        <v>0</v>
      </c>
      <c r="M20" s="32" t="n">
        <v>0</v>
      </c>
      <c r="N20" s="32" t="n">
        <v>0</v>
      </c>
      <c r="O20" s="32" t="n">
        <v>0</v>
      </c>
      <c r="P20" s="32" t="n">
        <v>1</v>
      </c>
      <c r="Q20" s="32" t="n">
        <v>1</v>
      </c>
      <c r="R20" s="32" t="n">
        <v>2</v>
      </c>
      <c r="S20" s="1" t="n">
        <f aca="false">SUM(C20:R20)</f>
        <v>10</v>
      </c>
      <c r="T20" s="16" t="n">
        <f aca="false">SUMPRODUCT(C20:R20,C$3:R$3)/S20</f>
        <v>1.5</v>
      </c>
      <c r="U20" s="1" t="n">
        <f aca="false">SUM(C20:F20)</f>
        <v>6</v>
      </c>
      <c r="V20" s="1" t="n">
        <f aca="false">SUMPRODUCT((C$3:R$3=1)*(C20:R20))</f>
        <v>6</v>
      </c>
      <c r="W20" s="1" t="str">
        <f aca="false">IF(AND(S20=10,MAX(C20:R20)&lt;=2),"OK","NG")</f>
        <v>OK</v>
      </c>
      <c r="X20" s="1" t="n">
        <f aca="false">U20+COUNTIFS(전투카드!$E$5:$E$40,A20,전투카드!$C$5:$C$40,"공격")</f>
        <v>7</v>
      </c>
      <c r="Y20" s="1" t="str">
        <f aca="false">IF(B20="공세",IF(AND(X20&gt;=6,X20&lt;=7),"OK","NG"),IF(B20="균형",IF(AND(X20&gt;=4,X20&lt;=5),"OK","NG"),IF(AND(X20&gt;=2,X20&lt;=3),"OK","NG")))</f>
        <v>OK</v>
      </c>
    </row>
    <row r="21" customFormat="false" ht="15" hidden="false" customHeight="true" outlineLevel="0" collapsed="false">
      <c r="A21" s="38" t="s">
        <v>207</v>
      </c>
      <c r="B21" s="38" t="s">
        <v>776</v>
      </c>
      <c r="C21" s="32" t="n">
        <v>2</v>
      </c>
      <c r="D21" s="32" t="n">
        <v>1</v>
      </c>
      <c r="E21" s="32" t="n">
        <v>0</v>
      </c>
      <c r="F21" s="32" t="n">
        <v>0</v>
      </c>
      <c r="G21" s="32" t="n">
        <v>2</v>
      </c>
      <c r="H21" s="32" t="n">
        <v>1</v>
      </c>
      <c r="I21" s="32" t="n">
        <v>1</v>
      </c>
      <c r="J21" s="32" t="n">
        <v>0</v>
      </c>
      <c r="K21" s="32" t="n">
        <v>0</v>
      </c>
      <c r="L21" s="32" t="n">
        <v>0</v>
      </c>
      <c r="M21" s="32" t="n">
        <v>0</v>
      </c>
      <c r="N21" s="32" t="n">
        <v>0</v>
      </c>
      <c r="O21" s="32" t="n">
        <v>0</v>
      </c>
      <c r="P21" s="32" t="n">
        <v>1</v>
      </c>
      <c r="Q21" s="32" t="n">
        <v>1</v>
      </c>
      <c r="R21" s="32" t="n">
        <v>1</v>
      </c>
      <c r="S21" s="1" t="n">
        <f aca="false">SUM(C21:R21)</f>
        <v>10</v>
      </c>
      <c r="T21" s="16" t="n">
        <f aca="false">SUMPRODUCT(C21:R21,C$3:R$3)/S21</f>
        <v>1.3</v>
      </c>
      <c r="U21" s="1" t="n">
        <f aca="false">SUM(C21:F21)</f>
        <v>3</v>
      </c>
      <c r="V21" s="1" t="n">
        <f aca="false">SUMPRODUCT((C$3:R$3=1)*(C21:R21))</f>
        <v>7</v>
      </c>
      <c r="W21" s="1" t="str">
        <f aca="false">IF(AND(S21=10,MAX(C21:R21)&lt;=2),"OK","NG")</f>
        <v>OK</v>
      </c>
      <c r="X21" s="1" t="n">
        <f aca="false">U21+COUNTIFS(전투카드!$E$5:$E$40,A21,전투카드!$C$5:$C$40,"공격")</f>
        <v>4</v>
      </c>
      <c r="Y21" s="1" t="str">
        <f aca="false">IF(B21="공세",IF(AND(X21&gt;=6,X21&lt;=7),"OK","NG"),IF(B21="균형",IF(AND(X21&gt;=4,X21&lt;=5),"OK","NG"),IF(AND(X21&gt;=2,X21&lt;=3),"OK","NG")))</f>
        <v>OK</v>
      </c>
    </row>
    <row r="22" customFormat="false" ht="15" hidden="false" customHeight="true" outlineLevel="0" collapsed="false">
      <c r="A22" s="38" t="s">
        <v>207</v>
      </c>
      <c r="B22" s="38" t="s">
        <v>777</v>
      </c>
      <c r="C22" s="32" t="n">
        <v>1</v>
      </c>
      <c r="D22" s="32" t="n">
        <v>0</v>
      </c>
      <c r="E22" s="32" t="n">
        <v>0</v>
      </c>
      <c r="F22" s="32" t="n">
        <v>0</v>
      </c>
      <c r="G22" s="32" t="n">
        <v>2</v>
      </c>
      <c r="H22" s="32" t="n">
        <v>2</v>
      </c>
      <c r="I22" s="32" t="n">
        <v>1</v>
      </c>
      <c r="J22" s="32" t="n">
        <v>0</v>
      </c>
      <c r="K22" s="32" t="n">
        <v>0</v>
      </c>
      <c r="L22" s="32" t="n">
        <v>1</v>
      </c>
      <c r="M22" s="32" t="n">
        <v>1</v>
      </c>
      <c r="N22" s="32" t="n">
        <v>0</v>
      </c>
      <c r="O22" s="32" t="n">
        <v>1</v>
      </c>
      <c r="P22" s="32" t="n">
        <v>1</v>
      </c>
      <c r="Q22" s="32" t="n">
        <v>0</v>
      </c>
      <c r="R22" s="32" t="n">
        <v>0</v>
      </c>
      <c r="S22" s="1" t="n">
        <f aca="false">SUM(C22:R22)</f>
        <v>10</v>
      </c>
      <c r="T22" s="16" t="n">
        <f aca="false">SUMPRODUCT(C22:R22,C$3:R$3)/S22</f>
        <v>1.5</v>
      </c>
      <c r="U22" s="1" t="n">
        <f aca="false">SUM(C22:F22)</f>
        <v>1</v>
      </c>
      <c r="V22" s="1" t="n">
        <f aca="false">SUMPRODUCT((C$3:R$3=1)*(C22:R22))</f>
        <v>5</v>
      </c>
      <c r="W22" s="1" t="str">
        <f aca="false">IF(AND(S22=10,MAX(C22:R22)&lt;=2),"OK","NG")</f>
        <v>OK</v>
      </c>
      <c r="X22" s="1" t="n">
        <f aca="false">U22+COUNTIFS(전투카드!$E$5:$E$40,A22,전투카드!$C$5:$C$40,"공격")</f>
        <v>2</v>
      </c>
      <c r="Y22" s="1" t="str">
        <f aca="false">IF(B22="공세",IF(AND(X22&gt;=6,X22&lt;=7),"OK","NG"),IF(B22="균형",IF(AND(X22&gt;=4,X22&lt;=5),"OK","NG"),IF(AND(X22&gt;=2,X22&lt;=3),"OK","NG")))</f>
        <v>OK</v>
      </c>
    </row>
    <row r="23" customFormat="false" ht="15" hidden="false" customHeight="true" outlineLevel="0" collapsed="false">
      <c r="A23" s="38" t="s">
        <v>216</v>
      </c>
      <c r="B23" s="38" t="s">
        <v>775</v>
      </c>
      <c r="C23" s="32" t="n">
        <v>2</v>
      </c>
      <c r="D23" s="32" t="n">
        <v>2</v>
      </c>
      <c r="E23" s="32" t="n">
        <v>1</v>
      </c>
      <c r="F23" s="32" t="n">
        <v>1</v>
      </c>
      <c r="G23" s="32" t="n">
        <v>0</v>
      </c>
      <c r="H23" s="32" t="n">
        <v>0</v>
      </c>
      <c r="I23" s="32" t="n">
        <v>0</v>
      </c>
      <c r="J23" s="32" t="n">
        <v>0</v>
      </c>
      <c r="K23" s="32" t="n">
        <v>0</v>
      </c>
      <c r="L23" s="32" t="n">
        <v>0</v>
      </c>
      <c r="M23" s="32" t="n">
        <v>0</v>
      </c>
      <c r="N23" s="32" t="n">
        <v>1</v>
      </c>
      <c r="O23" s="32" t="n">
        <v>0</v>
      </c>
      <c r="P23" s="32" t="n">
        <v>0</v>
      </c>
      <c r="Q23" s="32" t="n">
        <v>1</v>
      </c>
      <c r="R23" s="32" t="n">
        <v>2</v>
      </c>
      <c r="S23" s="1" t="n">
        <f aca="false">SUM(C23:R23)</f>
        <v>10</v>
      </c>
      <c r="T23" s="16" t="n">
        <f aca="false">SUMPRODUCT(C23:R23,C$3:R$3)/S23</f>
        <v>1.5</v>
      </c>
      <c r="U23" s="1" t="n">
        <f aca="false">SUM(C23:F23)</f>
        <v>6</v>
      </c>
      <c r="V23" s="1" t="n">
        <f aca="false">SUMPRODUCT((C$3:R$3=1)*(C23:R23))</f>
        <v>6</v>
      </c>
      <c r="W23" s="1" t="str">
        <f aca="false">IF(AND(S23=10,MAX(C23:R23)&lt;=2),"OK","NG")</f>
        <v>OK</v>
      </c>
      <c r="X23" s="1" t="n">
        <f aca="false">U23+COUNTIFS(전투카드!$E$5:$E$40,A23,전투카드!$C$5:$C$40,"공격")</f>
        <v>6</v>
      </c>
      <c r="Y23" s="1" t="str">
        <f aca="false">IF(B23="공세",IF(AND(X23&gt;=6,X23&lt;=7),"OK","NG"),IF(B23="균형",IF(AND(X23&gt;=4,X23&lt;=5),"OK","NG"),IF(AND(X23&gt;=2,X23&lt;=3),"OK","NG")))</f>
        <v>OK</v>
      </c>
    </row>
    <row r="24" customFormat="false" ht="15" hidden="false" customHeight="true" outlineLevel="0" collapsed="false">
      <c r="A24" s="38" t="s">
        <v>216</v>
      </c>
      <c r="B24" s="38" t="s">
        <v>776</v>
      </c>
      <c r="C24" s="32" t="n">
        <v>2</v>
      </c>
      <c r="D24" s="32" t="n">
        <v>1</v>
      </c>
      <c r="E24" s="32" t="n">
        <v>0</v>
      </c>
      <c r="F24" s="32" t="n">
        <v>1</v>
      </c>
      <c r="G24" s="32" t="n">
        <v>1</v>
      </c>
      <c r="H24" s="32" t="n">
        <v>0</v>
      </c>
      <c r="I24" s="32" t="n">
        <v>1</v>
      </c>
      <c r="J24" s="32" t="n">
        <v>0</v>
      </c>
      <c r="K24" s="32" t="n">
        <v>0</v>
      </c>
      <c r="L24" s="32" t="n">
        <v>1</v>
      </c>
      <c r="M24" s="32" t="n">
        <v>0</v>
      </c>
      <c r="N24" s="32" t="n">
        <v>1</v>
      </c>
      <c r="O24" s="32" t="n">
        <v>0</v>
      </c>
      <c r="P24" s="32" t="n">
        <v>1</v>
      </c>
      <c r="Q24" s="32" t="n">
        <v>1</v>
      </c>
      <c r="R24" s="32" t="n">
        <v>0</v>
      </c>
      <c r="S24" s="1" t="n">
        <f aca="false">SUM(C24:R24)</f>
        <v>10</v>
      </c>
      <c r="T24" s="16" t="n">
        <f aca="false">SUMPRODUCT(C24:R24,C$3:R$3)/S24</f>
        <v>1.4</v>
      </c>
      <c r="U24" s="1" t="n">
        <f aca="false">SUM(C24:F24)</f>
        <v>4</v>
      </c>
      <c r="V24" s="1" t="n">
        <f aca="false">SUMPRODUCT((C$3:R$3=1)*(C24:R24))</f>
        <v>7</v>
      </c>
      <c r="W24" s="1" t="str">
        <f aca="false">IF(AND(S24=10,MAX(C24:R24)&lt;=2),"OK","NG")</f>
        <v>OK</v>
      </c>
      <c r="X24" s="1" t="n">
        <f aca="false">U24+COUNTIFS(전투카드!$E$5:$E$40,A24,전투카드!$C$5:$C$40,"공격")</f>
        <v>4</v>
      </c>
      <c r="Y24" s="1" t="str">
        <f aca="false">IF(B24="공세",IF(AND(X24&gt;=6,X24&lt;=7),"OK","NG"),IF(B24="균형",IF(AND(X24&gt;=4,X24&lt;=5),"OK","NG"),IF(AND(X24&gt;=2,X24&lt;=3),"OK","NG")))</f>
        <v>OK</v>
      </c>
    </row>
    <row r="25" customFormat="false" ht="15" hidden="false" customHeight="true" outlineLevel="0" collapsed="false">
      <c r="A25" s="38" t="s">
        <v>216</v>
      </c>
      <c r="B25" s="38" t="s">
        <v>777</v>
      </c>
      <c r="C25" s="32" t="n">
        <v>2</v>
      </c>
      <c r="D25" s="32" t="n">
        <v>0</v>
      </c>
      <c r="E25" s="32" t="n">
        <v>0</v>
      </c>
      <c r="F25" s="32" t="n">
        <v>0</v>
      </c>
      <c r="G25" s="32" t="n">
        <v>2</v>
      </c>
      <c r="H25" s="32" t="n">
        <v>1</v>
      </c>
      <c r="I25" s="32" t="n">
        <v>1</v>
      </c>
      <c r="J25" s="32" t="n">
        <v>0</v>
      </c>
      <c r="K25" s="32" t="n">
        <v>0</v>
      </c>
      <c r="L25" s="32" t="n">
        <v>1</v>
      </c>
      <c r="M25" s="32" t="n">
        <v>1</v>
      </c>
      <c r="N25" s="32" t="n">
        <v>1</v>
      </c>
      <c r="O25" s="32" t="n">
        <v>0</v>
      </c>
      <c r="P25" s="32" t="n">
        <v>1</v>
      </c>
      <c r="Q25" s="32" t="n">
        <v>0</v>
      </c>
      <c r="R25" s="32" t="n">
        <v>0</v>
      </c>
      <c r="S25" s="1" t="n">
        <f aca="false">SUM(C25:R25)</f>
        <v>10</v>
      </c>
      <c r="T25" s="16" t="n">
        <f aca="false">SUMPRODUCT(C25:R25,C$3:R$3)/S25</f>
        <v>1.3</v>
      </c>
      <c r="U25" s="1" t="n">
        <f aca="false">SUM(C25:F25)</f>
        <v>2</v>
      </c>
      <c r="V25" s="1" t="n">
        <f aca="false">SUMPRODUCT((C$3:R$3=1)*(C25:R25))</f>
        <v>7</v>
      </c>
      <c r="W25" s="1" t="str">
        <f aca="false">IF(AND(S25=10,MAX(C25:R25)&lt;=2),"OK","NG")</f>
        <v>OK</v>
      </c>
      <c r="X25" s="1" t="n">
        <f aca="false">U25+COUNTIFS(전투카드!$E$5:$E$40,A25,전투카드!$C$5:$C$40,"공격")</f>
        <v>2</v>
      </c>
      <c r="Y25" s="1" t="str">
        <f aca="false">IF(B25="공세",IF(AND(X25&gt;=6,X25&lt;=7),"OK","NG"),IF(B25="균형",IF(AND(X25&gt;=4,X25&lt;=5),"OK","NG"),IF(AND(X25&gt;=2,X25&lt;=3),"OK","NG")))</f>
        <v>OK</v>
      </c>
    </row>
    <row r="26" customFormat="false" ht="15" hidden="false" customHeight="true" outlineLevel="0" collapsed="false">
      <c r="A26" s="38" t="s">
        <v>224</v>
      </c>
      <c r="B26" s="38" t="s">
        <v>775</v>
      </c>
      <c r="C26" s="32" t="n">
        <v>2</v>
      </c>
      <c r="D26" s="32" t="n">
        <v>2</v>
      </c>
      <c r="E26" s="32" t="n">
        <v>1</v>
      </c>
      <c r="F26" s="32" t="n">
        <v>0</v>
      </c>
      <c r="G26" s="32" t="n">
        <v>0</v>
      </c>
      <c r="H26" s="32" t="n">
        <v>0</v>
      </c>
      <c r="I26" s="32" t="n">
        <v>0</v>
      </c>
      <c r="J26" s="32" t="n">
        <v>2</v>
      </c>
      <c r="K26" s="32" t="n">
        <v>2</v>
      </c>
      <c r="L26" s="32" t="n">
        <v>0</v>
      </c>
      <c r="M26" s="32" t="n">
        <v>0</v>
      </c>
      <c r="N26" s="32" t="n">
        <v>0</v>
      </c>
      <c r="O26" s="32" t="n">
        <v>0</v>
      </c>
      <c r="P26" s="32" t="n">
        <v>0</v>
      </c>
      <c r="Q26" s="32" t="n">
        <v>0</v>
      </c>
      <c r="R26" s="32" t="n">
        <v>1</v>
      </c>
      <c r="S26" s="1" t="n">
        <f aca="false">SUM(C26:R26)</f>
        <v>10</v>
      </c>
      <c r="T26" s="16" t="n">
        <f aca="false">SUMPRODUCT(C26:R26,C$3:R$3)/S26</f>
        <v>1.5</v>
      </c>
      <c r="U26" s="1" t="n">
        <f aca="false">SUM(C26:F26)</f>
        <v>5</v>
      </c>
      <c r="V26" s="1" t="n">
        <f aca="false">SUMPRODUCT((C$3:R$3=1)*(C26:R26))</f>
        <v>5</v>
      </c>
      <c r="W26" s="1" t="str">
        <f aca="false">IF(AND(S26=10,MAX(C26:R26)&lt;=2),"OK","NG")</f>
        <v>OK</v>
      </c>
      <c r="X26" s="1" t="n">
        <f aca="false">U26+COUNTIFS(전투카드!$E$5:$E$40,A26,전투카드!$C$5:$C$40,"공격")</f>
        <v>6</v>
      </c>
      <c r="Y26" s="1" t="str">
        <f aca="false">IF(B26="공세",IF(AND(X26&gt;=6,X26&lt;=7),"OK","NG"),IF(B26="균형",IF(AND(X26&gt;=4,X26&lt;=5),"OK","NG"),IF(AND(X26&gt;=2,X26&lt;=3),"OK","NG")))</f>
        <v>OK</v>
      </c>
    </row>
    <row r="27" customFormat="false" ht="15" hidden="false" customHeight="true" outlineLevel="0" collapsed="false">
      <c r="A27" s="38" t="s">
        <v>224</v>
      </c>
      <c r="B27" s="38" t="s">
        <v>776</v>
      </c>
      <c r="C27" s="32" t="n">
        <v>2</v>
      </c>
      <c r="D27" s="32" t="n">
        <v>1</v>
      </c>
      <c r="E27" s="32" t="n">
        <v>0</v>
      </c>
      <c r="F27" s="32" t="n">
        <v>0</v>
      </c>
      <c r="G27" s="32" t="n">
        <v>1</v>
      </c>
      <c r="H27" s="32" t="n">
        <v>0</v>
      </c>
      <c r="I27" s="32" t="n">
        <v>1</v>
      </c>
      <c r="J27" s="32" t="n">
        <v>1</v>
      </c>
      <c r="K27" s="32" t="n">
        <v>1</v>
      </c>
      <c r="L27" s="32" t="n">
        <v>1</v>
      </c>
      <c r="M27" s="32" t="n">
        <v>0</v>
      </c>
      <c r="N27" s="32" t="n">
        <v>0</v>
      </c>
      <c r="O27" s="32" t="n">
        <v>0</v>
      </c>
      <c r="P27" s="32" t="n">
        <v>1</v>
      </c>
      <c r="Q27" s="32" t="n">
        <v>1</v>
      </c>
      <c r="R27" s="32" t="n">
        <v>0</v>
      </c>
      <c r="S27" s="1" t="n">
        <f aca="false">SUM(C27:R27)</f>
        <v>10</v>
      </c>
      <c r="T27" s="16" t="n">
        <f aca="false">SUMPRODUCT(C27:R27,C$3:R$3)/S27</f>
        <v>1.3</v>
      </c>
      <c r="U27" s="1" t="n">
        <f aca="false">SUM(C27:F27)</f>
        <v>3</v>
      </c>
      <c r="V27" s="1" t="n">
        <f aca="false">SUMPRODUCT((C$3:R$3=1)*(C27:R27))</f>
        <v>7</v>
      </c>
      <c r="W27" s="1" t="str">
        <f aca="false">IF(AND(S27=10,MAX(C27:R27)&lt;=2),"OK","NG")</f>
        <v>OK</v>
      </c>
      <c r="X27" s="1" t="n">
        <f aca="false">U27+COUNTIFS(전투카드!$E$5:$E$40,A27,전투카드!$C$5:$C$40,"공격")</f>
        <v>4</v>
      </c>
      <c r="Y27" s="1" t="str">
        <f aca="false">IF(B27="공세",IF(AND(X27&gt;=6,X27&lt;=7),"OK","NG"),IF(B27="균형",IF(AND(X27&gt;=4,X27&lt;=5),"OK","NG"),IF(AND(X27&gt;=2,X27&lt;=3),"OK","NG")))</f>
        <v>OK</v>
      </c>
    </row>
    <row r="28" customFormat="false" ht="15" hidden="false" customHeight="true" outlineLevel="0" collapsed="false">
      <c r="A28" s="38" t="s">
        <v>224</v>
      </c>
      <c r="B28" s="38" t="s">
        <v>777</v>
      </c>
      <c r="C28" s="32" t="n">
        <v>1</v>
      </c>
      <c r="D28" s="32" t="n">
        <v>0</v>
      </c>
      <c r="E28" s="32" t="n">
        <v>0</v>
      </c>
      <c r="F28" s="32" t="n">
        <v>0</v>
      </c>
      <c r="G28" s="32" t="n">
        <v>2</v>
      </c>
      <c r="H28" s="32" t="n">
        <v>1</v>
      </c>
      <c r="I28" s="32" t="n">
        <v>0</v>
      </c>
      <c r="J28" s="32" t="n">
        <v>1</v>
      </c>
      <c r="K28" s="32" t="n">
        <v>1</v>
      </c>
      <c r="L28" s="32" t="n">
        <v>2</v>
      </c>
      <c r="M28" s="32" t="n">
        <v>1</v>
      </c>
      <c r="N28" s="32" t="n">
        <v>0</v>
      </c>
      <c r="O28" s="32" t="n">
        <v>0</v>
      </c>
      <c r="P28" s="32" t="n">
        <v>0</v>
      </c>
      <c r="Q28" s="32" t="n">
        <v>1</v>
      </c>
      <c r="R28" s="32" t="n">
        <v>0</v>
      </c>
      <c r="S28" s="1" t="n">
        <f aca="false">SUM(C28:R28)</f>
        <v>10</v>
      </c>
      <c r="T28" s="16" t="n">
        <f aca="false">SUMPRODUCT(C28:R28,C$3:R$3)/S28</f>
        <v>1.3</v>
      </c>
      <c r="U28" s="1" t="n">
        <f aca="false">SUM(C28:F28)</f>
        <v>1</v>
      </c>
      <c r="V28" s="1" t="n">
        <f aca="false">SUMPRODUCT((C$3:R$3=1)*(C28:R28))</f>
        <v>7</v>
      </c>
      <c r="W28" s="1" t="str">
        <f aca="false">IF(AND(S28=10,MAX(C28:R28)&lt;=2),"OK","NG")</f>
        <v>OK</v>
      </c>
      <c r="X28" s="1" t="n">
        <f aca="false">U28+COUNTIFS(전투카드!$E$5:$E$40,A28,전투카드!$C$5:$C$40,"공격")</f>
        <v>2</v>
      </c>
      <c r="Y28" s="1" t="str">
        <f aca="false">IF(B28="공세",IF(AND(X28&gt;=6,X28&lt;=7),"OK","NG"),IF(B28="균형",IF(AND(X28&gt;=4,X28&lt;=5),"OK","NG"),IF(AND(X28&gt;=2,X28&lt;=3),"OK","NG")))</f>
        <v>OK</v>
      </c>
    </row>
    <row r="29" customFormat="false" ht="15" hidden="false" customHeight="true" outlineLevel="0" collapsed="false">
      <c r="A29" s="38" t="s">
        <v>232</v>
      </c>
      <c r="B29" s="38" t="s">
        <v>775</v>
      </c>
      <c r="C29" s="32" t="n">
        <v>2</v>
      </c>
      <c r="D29" s="32" t="n">
        <v>2</v>
      </c>
      <c r="E29" s="32" t="n">
        <v>2</v>
      </c>
      <c r="F29" s="32" t="n">
        <v>0</v>
      </c>
      <c r="G29" s="32" t="n">
        <v>0</v>
      </c>
      <c r="H29" s="32" t="n">
        <v>0</v>
      </c>
      <c r="I29" s="32" t="n">
        <v>0</v>
      </c>
      <c r="J29" s="32" t="n">
        <v>1</v>
      </c>
      <c r="K29" s="32" t="n">
        <v>0</v>
      </c>
      <c r="L29" s="32" t="n">
        <v>0</v>
      </c>
      <c r="M29" s="32" t="n">
        <v>0</v>
      </c>
      <c r="N29" s="32" t="n">
        <v>2</v>
      </c>
      <c r="O29" s="32" t="n">
        <v>0</v>
      </c>
      <c r="P29" s="32" t="n">
        <v>0</v>
      </c>
      <c r="Q29" s="32" t="n">
        <v>0</v>
      </c>
      <c r="R29" s="32" t="n">
        <v>1</v>
      </c>
      <c r="S29" s="1" t="n">
        <f aca="false">SUM(C29:R29)</f>
        <v>10</v>
      </c>
      <c r="T29" s="16" t="n">
        <f aca="false">SUMPRODUCT(C29:R29,C$3:R$3)/S29</f>
        <v>1.5</v>
      </c>
      <c r="U29" s="1" t="n">
        <f aca="false">SUM(C29:F29)</f>
        <v>6</v>
      </c>
      <c r="V29" s="1" t="n">
        <f aca="false">SUMPRODUCT((C$3:R$3=1)*(C29:R29))</f>
        <v>5</v>
      </c>
      <c r="W29" s="1" t="str">
        <f aca="false">IF(AND(S29=10,MAX(C29:R29)&lt;=2),"OK","NG")</f>
        <v>OK</v>
      </c>
      <c r="X29" s="1" t="n">
        <f aca="false">U29+COUNTIFS(전투카드!$E$5:$E$40,A29,전투카드!$C$5:$C$40,"공격")</f>
        <v>6</v>
      </c>
      <c r="Y29" s="1" t="str">
        <f aca="false">IF(B29="공세",IF(AND(X29&gt;=6,X29&lt;=7),"OK","NG"),IF(B29="균형",IF(AND(X29&gt;=4,X29&lt;=5),"OK","NG"),IF(AND(X29&gt;=2,X29&lt;=3),"OK","NG")))</f>
        <v>OK</v>
      </c>
    </row>
    <row r="30" customFormat="false" ht="15" hidden="false" customHeight="true" outlineLevel="0" collapsed="false">
      <c r="A30" s="38" t="s">
        <v>232</v>
      </c>
      <c r="B30" s="38" t="s">
        <v>776</v>
      </c>
      <c r="C30" s="32" t="n">
        <v>2</v>
      </c>
      <c r="D30" s="32" t="n">
        <v>2</v>
      </c>
      <c r="E30" s="32" t="n">
        <v>0</v>
      </c>
      <c r="F30" s="32" t="n">
        <v>0</v>
      </c>
      <c r="G30" s="32" t="n">
        <v>1</v>
      </c>
      <c r="H30" s="32" t="n">
        <v>1</v>
      </c>
      <c r="I30" s="32" t="n">
        <v>1</v>
      </c>
      <c r="J30" s="32" t="n">
        <v>1</v>
      </c>
      <c r="K30" s="32" t="n">
        <v>0</v>
      </c>
      <c r="L30" s="32" t="n">
        <v>0</v>
      </c>
      <c r="M30" s="32" t="n">
        <v>0</v>
      </c>
      <c r="N30" s="32" t="n">
        <v>2</v>
      </c>
      <c r="O30" s="32" t="n">
        <v>0</v>
      </c>
      <c r="P30" s="32" t="n">
        <v>0</v>
      </c>
      <c r="Q30" s="32" t="n">
        <v>0</v>
      </c>
      <c r="R30" s="32" t="n">
        <v>0</v>
      </c>
      <c r="S30" s="1" t="n">
        <f aca="false">SUM(C30:R30)</f>
        <v>10</v>
      </c>
      <c r="T30" s="16" t="n">
        <f aca="false">SUMPRODUCT(C30:R30,C$3:R$3)/S30</f>
        <v>1.5</v>
      </c>
      <c r="U30" s="1" t="n">
        <f aca="false">SUM(C30:F30)</f>
        <v>4</v>
      </c>
      <c r="V30" s="1" t="n">
        <f aca="false">SUMPRODUCT((C$3:R$3=1)*(C30:R30))</f>
        <v>5</v>
      </c>
      <c r="W30" s="1" t="str">
        <f aca="false">IF(AND(S30=10,MAX(C30:R30)&lt;=2),"OK","NG")</f>
        <v>OK</v>
      </c>
      <c r="X30" s="1" t="n">
        <f aca="false">U30+COUNTIFS(전투카드!$E$5:$E$40,A30,전투카드!$C$5:$C$40,"공격")</f>
        <v>4</v>
      </c>
      <c r="Y30" s="1" t="str">
        <f aca="false">IF(B30="공세",IF(AND(X30&gt;=6,X30&lt;=7),"OK","NG"),IF(B30="균형",IF(AND(X30&gt;=4,X30&lt;=5),"OK","NG"),IF(AND(X30&gt;=2,X30&lt;=3),"OK","NG")))</f>
        <v>OK</v>
      </c>
    </row>
    <row r="31" customFormat="false" ht="15" hidden="false" customHeight="true" outlineLevel="0" collapsed="false">
      <c r="A31" s="38" t="s">
        <v>232</v>
      </c>
      <c r="B31" s="38" t="s">
        <v>777</v>
      </c>
      <c r="C31" s="32" t="n">
        <v>2</v>
      </c>
      <c r="D31" s="32" t="n">
        <v>0</v>
      </c>
      <c r="E31" s="32" t="n">
        <v>0</v>
      </c>
      <c r="F31" s="32" t="n">
        <v>0</v>
      </c>
      <c r="G31" s="32" t="n">
        <v>2</v>
      </c>
      <c r="H31" s="32" t="n">
        <v>2</v>
      </c>
      <c r="I31" s="32" t="n">
        <v>0</v>
      </c>
      <c r="J31" s="32" t="n">
        <v>0</v>
      </c>
      <c r="K31" s="32" t="n">
        <v>0</v>
      </c>
      <c r="L31" s="32" t="n">
        <v>1</v>
      </c>
      <c r="M31" s="32" t="n">
        <v>1</v>
      </c>
      <c r="N31" s="32" t="n">
        <v>2</v>
      </c>
      <c r="O31" s="32" t="n">
        <v>0</v>
      </c>
      <c r="P31" s="32" t="n">
        <v>0</v>
      </c>
      <c r="Q31" s="32" t="n">
        <v>0</v>
      </c>
      <c r="R31" s="32" t="n">
        <v>0</v>
      </c>
      <c r="S31" s="1" t="n">
        <f aca="false">SUM(C31:R31)</f>
        <v>10</v>
      </c>
      <c r="T31" s="16" t="n">
        <f aca="false">SUMPRODUCT(C31:R31,C$3:R$3)/S31</f>
        <v>1.3</v>
      </c>
      <c r="U31" s="1" t="n">
        <f aca="false">SUM(C31:F31)</f>
        <v>2</v>
      </c>
      <c r="V31" s="1" t="n">
        <f aca="false">SUMPRODUCT((C$3:R$3=1)*(C31:R31))</f>
        <v>7</v>
      </c>
      <c r="W31" s="1" t="str">
        <f aca="false">IF(AND(S31=10,MAX(C31:R31)&lt;=2),"OK","NG")</f>
        <v>OK</v>
      </c>
      <c r="X31" s="1" t="n">
        <f aca="false">U31+COUNTIFS(전투카드!$E$5:$E$40,A31,전투카드!$C$5:$C$40,"공격")</f>
        <v>2</v>
      </c>
      <c r="Y31" s="1" t="str">
        <f aca="false">IF(B31="공세",IF(AND(X31&gt;=6,X31&lt;=7),"OK","NG"),IF(B31="균형",IF(AND(X31&gt;=4,X31&lt;=5),"OK","NG"),IF(AND(X31&gt;=2,X31&lt;=3),"OK","NG")))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2026-10-22T20:58:00Z</dcterms:created>
  <dc:creator>openpyxl</dc:creator>
  <dc:description/>
  <dc:language>en-US</dc:language>
  <cp:lastModifiedBy/>
  <dcterms:modified xsi:type="dcterms:W3CDTF">2026-10-24T04:22:50Z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